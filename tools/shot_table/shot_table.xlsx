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仰角曲線（各洞口）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洞口 1</c:v>
          </c:tx>
          <c:spPr>
            <a:ln w="22225">
              <a:solidFill>
                <a:srgbClr val="1F77B4"/>
              </a:solidFill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ser>
          <c:idx val="1"/>
          <c:order val="1"/>
          <c:tx>
            <c:v>洞口 2</c:v>
          </c:tx>
          <c:spPr>
            <a:ln w="22225">
              <a:solidFill>
                <a:srgbClr val="FF7F0E"/>
              </a:solidFill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ser>
          <c:idx val="2"/>
          <c:order val="2"/>
          <c:tx>
            <c:v>洞口 3</c:v>
          </c:tx>
          <c:spPr>
            <a:ln w="22225">
              <a:solidFill>
                <a:srgbClr val="2CA02C"/>
              </a:solidFill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ser>
          <c:idx val="3"/>
          <c:order val="3"/>
          <c:tx>
            <c:v>洞口 4</c:v>
          </c:tx>
          <c:spPr>
            <a:ln w="22225">
              <a:solidFill>
                <a:srgbClr val="D62728"/>
              </a:solidFill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xVal>
            <c:numRef>
              <c:f>'圖表資料'!$J$2:$J$61</c:f>
            </c:numRef>
          </c:xVal>
          <c:yVal>
            <c:numRef>
              <c:f>'圖表資料'!$K$2:$K$61</c:f>
            </c:numRef>
          </c:yVal>
          <c:smooth val="0"/>
        </c:ser>
        <c:ser>
          <c:idx val="4"/>
          <c:order val="4"/>
          <c:tx>
            <c:v>洞口 5</c:v>
          </c:tx>
          <c:spPr>
            <a:ln w="22225">
              <a:solidFill>
                <a:srgbClr val="9467BD"/>
              </a:solidFill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xVal>
            <c:numRef>
              <c:f>'圖表資料'!$M$2:$M$61</c:f>
            </c:numRef>
          </c:xVal>
          <c:yVal>
            <c:numRef>
              <c:f>'圖表資料'!$N$2:$N$61</c:f>
            </c:numRef>
          </c:yVal>
          <c:smooth val="0"/>
        </c:ser>
        <c:ser>
          <c:idx val="5"/>
          <c:order val="5"/>
          <c:tx>
            <c:v>洞口 6</c:v>
          </c:tx>
          <c:spPr>
            <a:ln w="22225">
              <a:solidFill>
                <a:srgbClr val="8C564B"/>
              </a:solidFill>
            </a:ln>
          </c:spPr>
          <c:marker>
            <c:symbol val="circle"/>
            <c:size val="6"/>
            <c:spPr>
              <a:solidFill>
                <a:srgbClr val="8C564B"/>
              </a:solidFill>
            </c:spPr>
          </c:marker>
          <c:xVal>
            <c:numRef>
              <c:f>'圖表資料'!$P$2:$P$61</c:f>
            </c:numRef>
          </c:xVal>
          <c:yVal>
            <c:numRef>
              <c:f>'圖表資料'!$Q$2:$Q$61</c:f>
            </c:numRef>
          </c:yVal>
          <c:smooth val="0"/>
        </c:ser>
        <c:ser>
          <c:idx val="6"/>
          <c:order val="6"/>
          <c:tx>
            <c:v>洞口 7</c:v>
          </c:tx>
          <c:spPr>
            <a:ln w="22225">
              <a:solidFill>
                <a:srgbClr val="E377C2"/>
              </a:solidFill>
            </a:ln>
          </c:spPr>
          <c:marker>
            <c:symbol val="circle"/>
            <c:size val="6"/>
            <c:spPr>
              <a:solidFill>
                <a:srgbClr val="E377C2"/>
              </a:solidFill>
            </c:spPr>
          </c:marker>
          <c:xVal>
            <c:numRef>
              <c:f>'圖表資料'!$S$2:$S$61</c:f>
            </c:numRef>
          </c:xVal>
          <c:yVal>
            <c:numRef>
              <c:f>'圖表資料'!$T$2:$T$61</c:f>
            </c:numRef>
          </c:yVal>
          <c:smooth val="0"/>
        </c:ser>
        <c:ser>
          <c:idx val="7"/>
          <c:order val="7"/>
          <c:tx>
            <c:v>洞口 8</c:v>
          </c:tx>
          <c:spPr>
            <a:ln w="22225">
              <a:solidFill>
                <a:srgbClr val="7F7F7F"/>
              </a:solidFill>
            </a:ln>
          </c:spPr>
          <c:marker>
            <c:symbol val="circle"/>
            <c:size val="6"/>
            <c:spPr>
              <a:solidFill>
                <a:srgbClr val="7F7F7F"/>
              </a:solidFill>
            </c:spPr>
          </c:marker>
          <c:xVal>
            <c:numRef>
              <c:f>'圖表資料'!$V$2:$V$61</c:f>
            </c:numRef>
          </c:xVal>
          <c:yVal>
            <c:numRef>
              <c:f>'圖表資料'!$W$2:$W$61</c:f>
            </c:numRef>
          </c:yVal>
          <c:smooth val="0"/>
        </c:ser>
        <c:ser>
          <c:idx val="8"/>
          <c:order val="8"/>
          <c:tx>
            <c:v>洞口 9</c:v>
          </c:tx>
          <c:spPr>
            <a:ln w="22225">
              <a:solidFill>
                <a:srgbClr val="BCBD22"/>
              </a:solidFill>
            </a:ln>
          </c:spPr>
          <c:marker>
            <c:symbol val="circle"/>
            <c:size val="6"/>
            <c:spPr>
              <a:solidFill>
                <a:srgbClr val="BCBD22"/>
              </a:solidFill>
            </c:spPr>
          </c:marker>
          <c:xVal>
            <c:numRef>
              <c:f>'圖表資料'!$Y$2:$Y$61</c:f>
            </c:numRef>
          </c:xVal>
          <c:yVal>
            <c:numRef>
              <c:f>'圖表資料'!$Z$2:$Z$61</c:f>
            </c:numRef>
          </c:yVal>
          <c:smooth val="0"/>
        </c:ser>
        <c:axId val="500000001"/>
        <c:axId val="500000002"/>
      </c:scatterChart>
      <c:valAx>
        <c:axId val="500000001"/>
        <c:scaling>
          <c:orientation val="minMax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距離 (m)</a:t>
                </a:r>
              </a:p>
            </c:rich>
          </c:tx>
          <c:overlay val="0"/>
        </c:title>
        <c:numFmt formatCode="General" sourceLinked="0"/>
        <c:tickLblPos val="nextTo"/>
        <c:crossAx val="500000002"/>
        <c:crosses val="autoZero"/>
        <c:crossBetween val="midCat"/>
      </c:valAx>
      <c:valAx>
        <c:axId val="500000002"/>
        <c:scaling>
          <c:orientation val="minMax"/>
          <c:max val="2500"/>
          <c:min val="50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00000001"/>
        <c:crosses val="autoZero"/>
        <c:crossBetween val="midCat"/>
      </c:valAx>
    </c:plotArea>
    <c:legend>
      <c:legendPos val="r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轉速曲線（各洞口）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洞口 1</c:v>
          </c:tx>
          <c:spPr>
            <a:ln w="22225">
              <a:solidFill>
                <a:srgbClr val="1F77B4"/>
              </a:solidFill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ser>
          <c:idx val="1"/>
          <c:order val="1"/>
          <c:tx>
            <c:v>洞口 2</c:v>
          </c:tx>
          <c:spPr>
            <a:ln w="22225">
              <a:solidFill>
                <a:srgbClr val="FF7F0E"/>
              </a:solidFill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ser>
          <c:idx val="2"/>
          <c:order val="2"/>
          <c:tx>
            <c:v>洞口 3</c:v>
          </c:tx>
          <c:spPr>
            <a:ln w="22225">
              <a:solidFill>
                <a:srgbClr val="2CA02C"/>
              </a:solidFill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ser>
          <c:idx val="3"/>
          <c:order val="3"/>
          <c:tx>
            <c:v>洞口 4</c:v>
          </c:tx>
          <c:spPr>
            <a:ln w="22225">
              <a:solidFill>
                <a:srgbClr val="D62728"/>
              </a:solidFill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xVal>
            <c:numRef>
              <c:f>'圖表資料'!$J$2:$J$61</c:f>
            </c:numRef>
          </c:xVal>
          <c:yVal>
            <c:numRef>
              <c:f>'圖表資料'!$L$2:$L$61</c:f>
            </c:numRef>
          </c:yVal>
          <c:smooth val="0"/>
        </c:ser>
        <c:ser>
          <c:idx val="4"/>
          <c:order val="4"/>
          <c:tx>
            <c:v>洞口 5</c:v>
          </c:tx>
          <c:spPr>
            <a:ln w="22225">
              <a:solidFill>
                <a:srgbClr val="9467BD"/>
              </a:solidFill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xVal>
            <c:numRef>
              <c:f>'圖表資料'!$M$2:$M$61</c:f>
            </c:numRef>
          </c:xVal>
          <c:yVal>
            <c:numRef>
              <c:f>'圖表資料'!$O$2:$O$61</c:f>
            </c:numRef>
          </c:yVal>
          <c:smooth val="0"/>
        </c:ser>
        <c:ser>
          <c:idx val="5"/>
          <c:order val="5"/>
          <c:tx>
            <c:v>洞口 6</c:v>
          </c:tx>
          <c:spPr>
            <a:ln w="22225">
              <a:solidFill>
                <a:srgbClr val="8C564B"/>
              </a:solidFill>
            </a:ln>
          </c:spPr>
          <c:marker>
            <c:symbol val="circle"/>
            <c:size val="6"/>
            <c:spPr>
              <a:solidFill>
                <a:srgbClr val="8C564B"/>
              </a:solidFill>
            </c:spPr>
          </c:marker>
          <c:xVal>
            <c:numRef>
              <c:f>'圖表資料'!$P$2:$P$61</c:f>
            </c:numRef>
          </c:xVal>
          <c:yVal>
            <c:numRef>
              <c:f>'圖表資料'!$R$2:$R$61</c:f>
            </c:numRef>
          </c:yVal>
          <c:smooth val="0"/>
        </c:ser>
        <c:ser>
          <c:idx val="6"/>
          <c:order val="6"/>
          <c:tx>
            <c:v>洞口 7</c:v>
          </c:tx>
          <c:spPr>
            <a:ln w="22225">
              <a:solidFill>
                <a:srgbClr val="E377C2"/>
              </a:solidFill>
            </a:ln>
          </c:spPr>
          <c:marker>
            <c:symbol val="circle"/>
            <c:size val="6"/>
            <c:spPr>
              <a:solidFill>
                <a:srgbClr val="E377C2"/>
              </a:solidFill>
            </c:spPr>
          </c:marker>
          <c:xVal>
            <c:numRef>
              <c:f>'圖表資料'!$S$2:$S$61</c:f>
            </c:numRef>
          </c:xVal>
          <c:yVal>
            <c:numRef>
              <c:f>'圖表資料'!$U$2:$U$61</c:f>
            </c:numRef>
          </c:yVal>
          <c:smooth val="0"/>
        </c:ser>
        <c:ser>
          <c:idx val="7"/>
          <c:order val="7"/>
          <c:tx>
            <c:v>洞口 8</c:v>
          </c:tx>
          <c:spPr>
            <a:ln w="22225">
              <a:solidFill>
                <a:srgbClr val="7F7F7F"/>
              </a:solidFill>
            </a:ln>
          </c:spPr>
          <c:marker>
            <c:symbol val="circle"/>
            <c:size val="6"/>
            <c:spPr>
              <a:solidFill>
                <a:srgbClr val="7F7F7F"/>
              </a:solidFill>
            </c:spPr>
          </c:marker>
          <c:xVal>
            <c:numRef>
              <c:f>'圖表資料'!$V$2:$V$61</c:f>
            </c:numRef>
          </c:xVal>
          <c:yVal>
            <c:numRef>
              <c:f>'圖表資料'!$X$2:$X$61</c:f>
            </c:numRef>
          </c:yVal>
          <c:smooth val="0"/>
        </c:ser>
        <c:ser>
          <c:idx val="8"/>
          <c:order val="8"/>
          <c:tx>
            <c:v>洞口 9</c:v>
          </c:tx>
          <c:spPr>
            <a:ln w="22225">
              <a:solidFill>
                <a:srgbClr val="BCBD22"/>
              </a:solidFill>
            </a:ln>
          </c:spPr>
          <c:marker>
            <c:symbol val="circle"/>
            <c:size val="6"/>
            <c:spPr>
              <a:solidFill>
                <a:srgbClr val="BCBD22"/>
              </a:solidFill>
            </c:spPr>
          </c:marker>
          <c:xVal>
            <c:numRef>
              <c:f>'圖表資料'!$Y$2:$Y$61</c:f>
            </c:numRef>
          </c:xVal>
          <c:yVal>
            <c:numRef>
              <c:f>'圖表資料'!$AA$2:$AA$61</c:f>
            </c:numRef>
          </c:yVal>
          <c:smooth val="0"/>
        </c:ser>
        <c:axId val="500000001"/>
        <c:axId val="500000002"/>
      </c:scatterChart>
      <c:valAx>
        <c:axId val="500000001"/>
        <c:scaling>
          <c:orientation val="minMax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距離 (m)</a:t>
                </a:r>
              </a:p>
            </c:rich>
          </c:tx>
          <c:overlay val="0"/>
        </c:title>
        <c:numFmt formatCode="General" sourceLinked="0"/>
        <c:tickLblPos val="nextTo"/>
        <c:crossAx val="500000002"/>
        <c:crosses val="autoZero"/>
        <c:crossBetween val="midCat"/>
      </c:valAx>
      <c:valAx>
        <c:axId val="50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00000001"/>
        <c:crosses val="autoZero"/>
        <c:crossBetween val="midCat"/>
      </c:valAx>
    </c:plotArea>
    <c:legend>
      <c:legendPos val="r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2" name="仰角曲線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23</xdr:row>
      <xdr:rowOff>0</xdr:rowOff>
    </xdr:from>
    <xdr:to>
      <xdr:col>15</xdr:col>
      <xdr:colOff>0</xdr:colOff>
      <xdr:row>45</xdr:row>
      <xdr:rowOff>0</xdr:rowOff>
    </xdr:to>
    <xdr:graphicFrame macro="">
      <xdr:nvGraphicFramePr>
        <xdr:cNvPr id="3" name="轉速曲線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4" width="12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轉速(%)</t>
        </is>
      </c>
    </row>
    <row r="2">
      <c r="A2">
        <v>4</v>
      </c>
      <c r="B2">
        <v>2.5</v>
      </c>
      <c r="C2">
        <v>2407</v>
      </c>
      <c r="D2">
        <v>42.0</v>
      </c>
    </row>
    <row r="3">
      <c r="A3">
        <v>4</v>
      </c>
      <c r="B3">
        <v>5.0</v>
      </c>
      <c r="C3">
        <v>2183</v>
      </c>
      <c r="D3">
        <v>43.0</v>
      </c>
    </row>
    <row r="4">
      <c r="A4">
        <v>5</v>
      </c>
      <c r="B4">
        <v>2.5</v>
      </c>
      <c r="C4">
        <v>2500</v>
      </c>
      <c r="D4">
        <v>100.0</v>
      </c>
    </row>
    <row r="5">
      <c r="A5">
        <v>5</v>
      </c>
      <c r="B5">
        <v>5.0</v>
      </c>
      <c r="C5">
        <v>2063</v>
      </c>
      <c r="D5">
        <v>46.0</v>
      </c>
    </row>
    <row r="6">
      <c r="A6">
        <v>6</v>
      </c>
      <c r="B6">
        <v>2.5</v>
      </c>
      <c r="C6">
        <v>1010</v>
      </c>
      <c r="D6">
        <v>100.0</v>
      </c>
    </row>
    <row r="7">
      <c r="A7">
        <v>6</v>
      </c>
      <c r="B7">
        <v>5.0</v>
      </c>
      <c r="C7">
        <v>2442</v>
      </c>
      <c r="D7">
        <v>80.0</v>
      </c>
    </row>
  </sheetData>
  <dataValidations count="4">
    <dataValidation type="whole" allowBlank="1" showErrorMessage="1" errorTitle="洞口" error="洞口要是 1–9 的整數" sqref="A2:A500">
      <formula1>1</formula1>
      <formula2>9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decimal" allowBlank="1" showErrorMessage="1" errorTitle="轉速" error="轉速 0–100 %" sqref="D2:D500">
      <formula1>0</formula1>
      <formula2>100</formula2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.xlsx）。旁邊的兩張曲線圖會自動跟著更新。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列是欄位名稱。「洞口」「距離(m)」「仰角(us)」「轉速(%)」四個必須各出現一次、名稱一字不差。</t>
        </is>
      </c>
    </row>
    <row r="10">
      <c r="A10" t="inlineStr">
        <is>
          <t>- 若插入其他欄位，新欄位一定要有名稱；它們不會被讀取。</t>
        </is>
      </c>
    </row>
    <row r="11">
      <c r="A11" t="inlineStr">
        <is>
          <t>- 洞口：Dashboard 的編號 1–9（1 左下、2 左中、3 左上 … 9 右上）。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轉速：Falcon 指令 0–100 %，最多 1 位小數。</t>
        </is>
      </c>
    </row>
    <row r="15">
      <c r="A15" t="inlineStr">
        <is>
          <t>- 列的順序不重要；空白列會略過；同一個洞口的同一個距離不能重複。</t>
        </is>
      </c>
    </row>
    <row r="16">
      <c r="A16" t="inlineStr">
        <is>
          <t>- 資料請放在第 2–500 列；每個洞口最多 60 個點會畫進曲線圖。</t>
        </is>
      </c>
    </row>
    <row r="17">
      <c r="A17" t="inlineStr">
        <is>
          <t>- 任何一格不符合，就不會產生檔案、也不會燒錄，畫面會指出是哪一格。</t>
        </is>
      </c>
    </row>
    <row r="19">
      <c r="A19" t="inlineStr">
        <is>
          <t>沒有資料的洞</t>
        </is>
      </c>
    </row>
    <row r="20">
      <c r="A20" t="inlineStr">
        <is>
          <t>- 會借用同一排中間洞的值：1、7 用 4，2、8 用 5，3、9 用 6（曲線圖只畫有資料的洞）。</t>
        </is>
      </c>
    </row>
    <row r="21">
      <c r="A21" t="inlineStr">
        <is>
          <t>- 兩個距離之間直線內插（就是曲線圖上的直線）；比最近的點還近就用最近的點；比最遠的點還遠就用最遠的點。</t>
        </is>
      </c>
    </row>
    <row r="23">
      <c r="A23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洞口1 距離</t>
        </is>
      </c>
      <c r="B1" t="inlineStr" s="1">
        <is>
          <t>洞口1 仰角</t>
        </is>
      </c>
      <c r="C1" t="inlineStr" s="1">
        <is>
          <t>洞口1 轉速</t>
        </is>
      </c>
      <c r="D1" t="inlineStr" s="1">
        <is>
          <t>洞口2 距離</t>
        </is>
      </c>
      <c r="E1" t="inlineStr" s="1">
        <is>
          <t>洞口2 仰角</t>
        </is>
      </c>
      <c r="F1" t="inlineStr" s="1">
        <is>
          <t>洞口2 轉速</t>
        </is>
      </c>
      <c r="G1" t="inlineStr" s="1">
        <is>
          <t>洞口3 距離</t>
        </is>
      </c>
      <c r="H1" t="inlineStr" s="1">
        <is>
          <t>洞口3 仰角</t>
        </is>
      </c>
      <c r="I1" t="inlineStr" s="1">
        <is>
          <t>洞口3 轉速</t>
        </is>
      </c>
      <c r="J1" t="inlineStr" s="1">
        <is>
          <t>洞口4 距離</t>
        </is>
      </c>
      <c r="K1" t="inlineStr" s="1">
        <is>
          <t>洞口4 仰角</t>
        </is>
      </c>
      <c r="L1" t="inlineStr" s="1">
        <is>
          <t>洞口4 轉速</t>
        </is>
      </c>
      <c r="M1" t="inlineStr" s="1">
        <is>
          <t>洞口5 距離</t>
        </is>
      </c>
      <c r="N1" t="inlineStr" s="1">
        <is>
          <t>洞口5 仰角</t>
        </is>
      </c>
      <c r="O1" t="inlineStr" s="1">
        <is>
          <t>洞口5 轉速</t>
        </is>
      </c>
      <c r="P1" t="inlineStr" s="1">
        <is>
          <t>洞口6 距離</t>
        </is>
      </c>
      <c r="Q1" t="inlineStr" s="1">
        <is>
          <t>洞口6 仰角</t>
        </is>
      </c>
      <c r="R1" t="inlineStr" s="1">
        <is>
          <t>洞口6 轉速</t>
        </is>
      </c>
      <c r="S1" t="inlineStr" s="1">
        <is>
          <t>洞口7 距離</t>
        </is>
      </c>
      <c r="T1" t="inlineStr" s="1">
        <is>
          <t>洞口7 仰角</t>
        </is>
      </c>
      <c r="U1" t="inlineStr" s="1">
        <is>
          <t>洞口7 轉速</t>
        </is>
      </c>
      <c r="V1" t="inlineStr" s="1">
        <is>
          <t>洞口8 距離</t>
        </is>
      </c>
      <c r="W1" t="inlineStr" s="1">
        <is>
          <t>洞口8 仰角</t>
        </is>
      </c>
      <c r="X1" t="inlineStr" s="1">
        <is>
          <t>洞口8 轉速</t>
        </is>
      </c>
      <c r="Y1" t="inlineStr" s="1">
        <is>
          <t>洞口9 距離</t>
        </is>
      </c>
      <c r="Z1" t="inlineStr" s="1">
        <is>
          <t>洞口9 仰角</t>
        </is>
      </c>
      <c r="AA1" t="inlineStr" s="1">
        <is>
          <t>洞口9 轉速</t>
        </is>
      </c>
    </row>
    <row r="2">
      <c r="A2">
        <f t="array" ref="A2">IFERROR(SMALL(IF('射擊表'!$A$2:$A$500=1,'射擊表'!$B$2:$B$500),1),NA())</f>
      </c>
      <c r="B2">
        <f t="array" ref="B2">IFERROR(INDEX('射擊表'!$C$2:$C$500,MATCH(1,('射擊表'!$A$2:$A$500=1)*('射擊表'!$B$2:$B$500=A2),0)),NA())</f>
      </c>
      <c r="C2">
        <f t="array" ref="C2">IFERROR(INDEX('射擊表'!$D$2:$D$500,MATCH(1,('射擊表'!$A$2:$A$500=1)*('射擊表'!$B$2:$B$500=A2),0)),NA())</f>
      </c>
      <c r="D2">
        <f t="array" ref="D2">IFERROR(SMALL(IF('射擊表'!$A$2:$A$500=2,'射擊表'!$B$2:$B$500),1),NA())</f>
      </c>
      <c r="E2">
        <f t="array" ref="E2">IFERROR(INDEX('射擊表'!$C$2:$C$500,MATCH(1,('射擊表'!$A$2:$A$500=2)*('射擊表'!$B$2:$B$500=D2),0)),NA())</f>
      </c>
      <c r="F2">
        <f t="array" ref="F2">IFERROR(INDEX('射擊表'!$D$2:$D$500,MATCH(1,('射擊表'!$A$2:$A$500=2)*('射擊表'!$B$2:$B$500=D2),0)),NA())</f>
      </c>
      <c r="G2">
        <f t="array" ref="G2">IFERROR(SMALL(IF('射擊表'!$A$2:$A$500=3,'射擊表'!$B$2:$B$500),1),NA())</f>
      </c>
      <c r="H2">
        <f t="array" ref="H2">IFERROR(INDEX('射擊表'!$C$2:$C$500,MATCH(1,('射擊表'!$A$2:$A$500=3)*('射擊表'!$B$2:$B$500=G2),0)),NA())</f>
      </c>
      <c r="I2">
        <f t="array" ref="I2">IFERROR(INDEX('射擊表'!$D$2:$D$500,MATCH(1,('射擊表'!$A$2:$A$500=3)*('射擊表'!$B$2:$B$500=G2),0)),NA())</f>
      </c>
      <c r="J2">
        <f t="array" ref="J2">IFERROR(SMALL(IF('射擊表'!$A$2:$A$500=4,'射擊表'!$B$2:$B$500),1),NA())</f>
      </c>
      <c r="K2">
        <f t="array" ref="K2">IFERROR(INDEX('射擊表'!$C$2:$C$500,MATCH(1,('射擊表'!$A$2:$A$500=4)*('射擊表'!$B$2:$B$500=J2),0)),NA())</f>
      </c>
      <c r="L2">
        <f t="array" ref="L2">IFERROR(INDEX('射擊表'!$D$2:$D$500,MATCH(1,('射擊表'!$A$2:$A$500=4)*('射擊表'!$B$2:$B$500=J2),0)),NA())</f>
      </c>
      <c r="M2">
        <f t="array" ref="M2">IFERROR(SMALL(IF('射擊表'!$A$2:$A$500=5,'射擊表'!$B$2:$B$500),1),NA())</f>
      </c>
      <c r="N2">
        <f t="array" ref="N2">IFERROR(INDEX('射擊表'!$C$2:$C$500,MATCH(1,('射擊表'!$A$2:$A$500=5)*('射擊表'!$B$2:$B$500=M2),0)),NA())</f>
      </c>
      <c r="O2">
        <f t="array" ref="O2">IFERROR(INDEX('射擊表'!$D$2:$D$500,MATCH(1,('射擊表'!$A$2:$A$500=5)*('射擊表'!$B$2:$B$500=M2),0)),NA())</f>
      </c>
      <c r="P2">
        <f t="array" ref="P2">IFERROR(SMALL(IF('射擊表'!$A$2:$A$500=6,'射擊表'!$B$2:$B$500),1),NA())</f>
      </c>
      <c r="Q2">
        <f t="array" ref="Q2">IFERROR(INDEX('射擊表'!$C$2:$C$500,MATCH(1,('射擊表'!$A$2:$A$500=6)*('射擊表'!$B$2:$B$500=P2),0)),NA())</f>
      </c>
      <c r="R2">
        <f t="array" ref="R2">IFERROR(INDEX('射擊表'!$D$2:$D$500,MATCH(1,('射擊表'!$A$2:$A$500=6)*('射擊表'!$B$2:$B$500=P2),0)),NA())</f>
      </c>
      <c r="S2">
        <f t="array" ref="S2">IFERROR(SMALL(IF('射擊表'!$A$2:$A$500=7,'射擊表'!$B$2:$B$500),1),NA())</f>
      </c>
      <c r="T2">
        <f t="array" ref="T2">IFERROR(INDEX('射擊表'!$C$2:$C$500,MATCH(1,('射擊表'!$A$2:$A$500=7)*('射擊表'!$B$2:$B$500=S2),0)),NA())</f>
      </c>
      <c r="U2">
        <f t="array" ref="U2">IFERROR(INDEX('射擊表'!$D$2:$D$500,MATCH(1,('射擊表'!$A$2:$A$500=7)*('射擊表'!$B$2:$B$500=S2),0)),NA())</f>
      </c>
      <c r="V2">
        <f t="array" ref="V2">IFERROR(SMALL(IF('射擊表'!$A$2:$A$500=8,'射擊表'!$B$2:$B$500),1),NA())</f>
      </c>
      <c r="W2">
        <f t="array" ref="W2">IFERROR(INDEX('射擊表'!$C$2:$C$500,MATCH(1,('射擊表'!$A$2:$A$500=8)*('射擊表'!$B$2:$B$500=V2),0)),NA())</f>
      </c>
      <c r="X2">
        <f t="array" ref="X2">IFERROR(INDEX('射擊表'!$D$2:$D$500,MATCH(1,('射擊表'!$A$2:$A$500=8)*('射擊表'!$B$2:$B$500=V2),0)),NA())</f>
      </c>
      <c r="Y2">
        <f t="array" ref="Y2">IFERROR(SMALL(IF('射擊表'!$A$2:$A$500=9,'射擊表'!$B$2:$B$500),1),NA())</f>
      </c>
      <c r="Z2">
        <f t="array" ref="Z2">IFERROR(INDEX('射擊表'!$C$2:$C$500,MATCH(1,('射擊表'!$A$2:$A$500=9)*('射擊表'!$B$2:$B$500=Y2),0)),NA())</f>
      </c>
      <c r="AA2">
        <f t="array" ref="AA2">IFERROR(INDEX('射擊表'!$D$2:$D$500,MATCH(1,('射擊表'!$A$2:$A$500=9)*('射擊表'!$B$2:$B$500=Y2),0)),NA())</f>
      </c>
    </row>
    <row r="3">
      <c r="A3">
        <f t="array" ref="A3">IFERROR(SMALL(IF('射擊表'!$A$2:$A$500=1,'射擊表'!$B$2:$B$500),2),NA())</f>
      </c>
      <c r="B3">
        <f t="array" ref="B3">IFERROR(INDEX('射擊表'!$C$2:$C$500,MATCH(1,('射擊表'!$A$2:$A$500=1)*('射擊表'!$B$2:$B$500=A3),0)),NA())</f>
      </c>
      <c r="C3">
        <f t="array" ref="C3">IFERROR(INDEX('射擊表'!$D$2:$D$500,MATCH(1,('射擊表'!$A$2:$A$500=1)*('射擊表'!$B$2:$B$500=A3),0)),NA())</f>
      </c>
      <c r="D3">
        <f t="array" ref="D3">IFERROR(SMALL(IF('射擊表'!$A$2:$A$500=2,'射擊表'!$B$2:$B$500),2),NA())</f>
      </c>
      <c r="E3">
        <f t="array" ref="E3">IFERROR(INDEX('射擊表'!$C$2:$C$500,MATCH(1,('射擊表'!$A$2:$A$500=2)*('射擊表'!$B$2:$B$500=D3),0)),NA())</f>
      </c>
      <c r="F3">
        <f t="array" ref="F3">IFERROR(INDEX('射擊表'!$D$2:$D$500,MATCH(1,('射擊表'!$A$2:$A$500=2)*('射擊表'!$B$2:$B$500=D3),0)),NA())</f>
      </c>
      <c r="G3">
        <f t="array" ref="G3">IFERROR(SMALL(IF('射擊表'!$A$2:$A$500=3,'射擊表'!$B$2:$B$500),2),NA())</f>
      </c>
      <c r="H3">
        <f t="array" ref="H3">IFERROR(INDEX('射擊表'!$C$2:$C$500,MATCH(1,('射擊表'!$A$2:$A$500=3)*('射擊表'!$B$2:$B$500=G3),0)),NA())</f>
      </c>
      <c r="I3">
        <f t="array" ref="I3">IFERROR(INDEX('射擊表'!$D$2:$D$500,MATCH(1,('射擊表'!$A$2:$A$500=3)*('射擊表'!$B$2:$B$500=G3),0)),NA())</f>
      </c>
      <c r="J3">
        <f t="array" ref="J3">IFERROR(SMALL(IF('射擊表'!$A$2:$A$500=4,'射擊表'!$B$2:$B$500),2),NA())</f>
      </c>
      <c r="K3">
        <f t="array" ref="K3">IFERROR(INDEX('射擊表'!$C$2:$C$500,MATCH(1,('射擊表'!$A$2:$A$500=4)*('射擊表'!$B$2:$B$500=J3),0)),NA())</f>
      </c>
      <c r="L3">
        <f t="array" ref="L3">IFERROR(INDEX('射擊表'!$D$2:$D$500,MATCH(1,('射擊表'!$A$2:$A$500=4)*('射擊表'!$B$2:$B$500=J3),0)),NA())</f>
      </c>
      <c r="M3">
        <f t="array" ref="M3">IFERROR(SMALL(IF('射擊表'!$A$2:$A$500=5,'射擊表'!$B$2:$B$500),2),NA())</f>
      </c>
      <c r="N3">
        <f t="array" ref="N3">IFERROR(INDEX('射擊表'!$C$2:$C$500,MATCH(1,('射擊表'!$A$2:$A$500=5)*('射擊表'!$B$2:$B$500=M3),0)),NA())</f>
      </c>
      <c r="O3">
        <f t="array" ref="O3">IFERROR(INDEX('射擊表'!$D$2:$D$500,MATCH(1,('射擊表'!$A$2:$A$500=5)*('射擊表'!$B$2:$B$500=M3),0)),NA())</f>
      </c>
      <c r="P3">
        <f t="array" ref="P3">IFERROR(SMALL(IF('射擊表'!$A$2:$A$500=6,'射擊表'!$B$2:$B$500),2),NA())</f>
      </c>
      <c r="Q3">
        <f t="array" ref="Q3">IFERROR(INDEX('射擊表'!$C$2:$C$500,MATCH(1,('射擊表'!$A$2:$A$500=6)*('射擊表'!$B$2:$B$500=P3),0)),NA())</f>
      </c>
      <c r="R3">
        <f t="array" ref="R3">IFERROR(INDEX('射擊表'!$D$2:$D$500,MATCH(1,('射擊表'!$A$2:$A$500=6)*('射擊表'!$B$2:$B$500=P3),0)),NA())</f>
      </c>
      <c r="S3">
        <f t="array" ref="S3">IFERROR(SMALL(IF('射擊表'!$A$2:$A$500=7,'射擊表'!$B$2:$B$500),2),NA())</f>
      </c>
      <c r="T3">
        <f t="array" ref="T3">IFERROR(INDEX('射擊表'!$C$2:$C$500,MATCH(1,('射擊表'!$A$2:$A$500=7)*('射擊表'!$B$2:$B$500=S3),0)),NA())</f>
      </c>
      <c r="U3">
        <f t="array" ref="U3">IFERROR(INDEX('射擊表'!$D$2:$D$500,MATCH(1,('射擊表'!$A$2:$A$500=7)*('射擊表'!$B$2:$B$500=S3),0)),NA())</f>
      </c>
      <c r="V3">
        <f t="array" ref="V3">IFERROR(SMALL(IF('射擊表'!$A$2:$A$500=8,'射擊表'!$B$2:$B$500),2),NA())</f>
      </c>
      <c r="W3">
        <f t="array" ref="W3">IFERROR(INDEX('射擊表'!$C$2:$C$500,MATCH(1,('射擊表'!$A$2:$A$500=8)*('射擊表'!$B$2:$B$500=V3),0)),NA())</f>
      </c>
      <c r="X3">
        <f t="array" ref="X3">IFERROR(INDEX('射擊表'!$D$2:$D$500,MATCH(1,('射擊表'!$A$2:$A$500=8)*('射擊表'!$B$2:$B$500=V3),0)),NA())</f>
      </c>
      <c r="Y3">
        <f t="array" ref="Y3">IFERROR(SMALL(IF('射擊表'!$A$2:$A$500=9,'射擊表'!$B$2:$B$500),2),NA())</f>
      </c>
      <c r="Z3">
        <f t="array" ref="Z3">IFERROR(INDEX('射擊表'!$C$2:$C$500,MATCH(1,('射擊表'!$A$2:$A$500=9)*('射擊表'!$B$2:$B$500=Y3),0)),NA())</f>
      </c>
      <c r="AA3">
        <f t="array" ref="AA3">IFERROR(INDEX('射擊表'!$D$2:$D$500,MATCH(1,('射擊表'!$A$2:$A$500=9)*('射擊表'!$B$2:$B$500=Y3),0)),NA())</f>
      </c>
    </row>
    <row r="4">
      <c r="A4">
        <f t="array" ref="A4">IFERROR(SMALL(IF('射擊表'!$A$2:$A$500=1,'射擊表'!$B$2:$B$500),3),NA())</f>
      </c>
      <c r="B4">
        <f t="array" ref="B4">IFERROR(INDEX('射擊表'!$C$2:$C$500,MATCH(1,('射擊表'!$A$2:$A$500=1)*('射擊表'!$B$2:$B$500=A4),0)),NA())</f>
      </c>
      <c r="C4">
        <f t="array" ref="C4">IFERROR(INDEX('射擊表'!$D$2:$D$500,MATCH(1,('射擊表'!$A$2:$A$500=1)*('射擊表'!$B$2:$B$500=A4),0)),NA())</f>
      </c>
      <c r="D4">
        <f t="array" ref="D4">IFERROR(SMALL(IF('射擊表'!$A$2:$A$500=2,'射擊表'!$B$2:$B$500),3),NA())</f>
      </c>
      <c r="E4">
        <f t="array" ref="E4">IFERROR(INDEX('射擊表'!$C$2:$C$500,MATCH(1,('射擊表'!$A$2:$A$500=2)*('射擊表'!$B$2:$B$500=D4),0)),NA())</f>
      </c>
      <c r="F4">
        <f t="array" ref="F4">IFERROR(INDEX('射擊表'!$D$2:$D$500,MATCH(1,('射擊表'!$A$2:$A$500=2)*('射擊表'!$B$2:$B$500=D4),0)),NA())</f>
      </c>
      <c r="G4">
        <f t="array" ref="G4">IFERROR(SMALL(IF('射擊表'!$A$2:$A$500=3,'射擊表'!$B$2:$B$500),3),NA())</f>
      </c>
      <c r="H4">
        <f t="array" ref="H4">IFERROR(INDEX('射擊表'!$C$2:$C$500,MATCH(1,('射擊表'!$A$2:$A$500=3)*('射擊表'!$B$2:$B$500=G4),0)),NA())</f>
      </c>
      <c r="I4">
        <f t="array" ref="I4">IFERROR(INDEX('射擊表'!$D$2:$D$500,MATCH(1,('射擊表'!$A$2:$A$500=3)*('射擊表'!$B$2:$B$500=G4),0)),NA())</f>
      </c>
      <c r="J4">
        <f t="array" ref="J4">IFERROR(SMALL(IF('射擊表'!$A$2:$A$500=4,'射擊表'!$B$2:$B$500),3),NA())</f>
      </c>
      <c r="K4">
        <f t="array" ref="K4">IFERROR(INDEX('射擊表'!$C$2:$C$500,MATCH(1,('射擊表'!$A$2:$A$500=4)*('射擊表'!$B$2:$B$500=J4),0)),NA())</f>
      </c>
      <c r="L4">
        <f t="array" ref="L4">IFERROR(INDEX('射擊表'!$D$2:$D$500,MATCH(1,('射擊表'!$A$2:$A$500=4)*('射擊表'!$B$2:$B$500=J4),0)),NA())</f>
      </c>
      <c r="M4">
        <f t="array" ref="M4">IFERROR(SMALL(IF('射擊表'!$A$2:$A$500=5,'射擊表'!$B$2:$B$500),3),NA())</f>
      </c>
      <c r="N4">
        <f t="array" ref="N4">IFERROR(INDEX('射擊表'!$C$2:$C$500,MATCH(1,('射擊表'!$A$2:$A$500=5)*('射擊表'!$B$2:$B$500=M4),0)),NA())</f>
      </c>
      <c r="O4">
        <f t="array" ref="O4">IFERROR(INDEX('射擊表'!$D$2:$D$500,MATCH(1,('射擊表'!$A$2:$A$500=5)*('射擊表'!$B$2:$B$500=M4),0)),NA())</f>
      </c>
      <c r="P4">
        <f t="array" ref="P4">IFERROR(SMALL(IF('射擊表'!$A$2:$A$500=6,'射擊表'!$B$2:$B$500),3),NA())</f>
      </c>
      <c r="Q4">
        <f t="array" ref="Q4">IFERROR(INDEX('射擊表'!$C$2:$C$500,MATCH(1,('射擊表'!$A$2:$A$500=6)*('射擊表'!$B$2:$B$500=P4),0)),NA())</f>
      </c>
      <c r="R4">
        <f t="array" ref="R4">IFERROR(INDEX('射擊表'!$D$2:$D$500,MATCH(1,('射擊表'!$A$2:$A$500=6)*('射擊表'!$B$2:$B$500=P4),0)),NA())</f>
      </c>
      <c r="S4">
        <f t="array" ref="S4">IFERROR(SMALL(IF('射擊表'!$A$2:$A$500=7,'射擊表'!$B$2:$B$500),3),NA())</f>
      </c>
      <c r="T4">
        <f t="array" ref="T4">IFERROR(INDEX('射擊表'!$C$2:$C$500,MATCH(1,('射擊表'!$A$2:$A$500=7)*('射擊表'!$B$2:$B$500=S4),0)),NA())</f>
      </c>
      <c r="U4">
        <f t="array" ref="U4">IFERROR(INDEX('射擊表'!$D$2:$D$500,MATCH(1,('射擊表'!$A$2:$A$500=7)*('射擊表'!$B$2:$B$500=S4),0)),NA())</f>
      </c>
      <c r="V4">
        <f t="array" ref="V4">IFERROR(SMALL(IF('射擊表'!$A$2:$A$500=8,'射擊表'!$B$2:$B$500),3),NA())</f>
      </c>
      <c r="W4">
        <f t="array" ref="W4">IFERROR(INDEX('射擊表'!$C$2:$C$500,MATCH(1,('射擊表'!$A$2:$A$500=8)*('射擊表'!$B$2:$B$500=V4),0)),NA())</f>
      </c>
      <c r="X4">
        <f t="array" ref="X4">IFERROR(INDEX('射擊表'!$D$2:$D$500,MATCH(1,('射擊表'!$A$2:$A$500=8)*('射擊表'!$B$2:$B$500=V4),0)),NA())</f>
      </c>
      <c r="Y4">
        <f t="array" ref="Y4">IFERROR(SMALL(IF('射擊表'!$A$2:$A$500=9,'射擊表'!$B$2:$B$500),3),NA())</f>
      </c>
      <c r="Z4">
        <f t="array" ref="Z4">IFERROR(INDEX('射擊表'!$C$2:$C$500,MATCH(1,('射擊表'!$A$2:$A$500=9)*('射擊表'!$B$2:$B$500=Y4),0)),NA())</f>
      </c>
      <c r="AA4">
        <f t="array" ref="AA4">IFERROR(INDEX('射擊表'!$D$2:$D$500,MATCH(1,('射擊表'!$A$2:$A$500=9)*('射擊表'!$B$2:$B$500=Y4),0)),NA())</f>
      </c>
    </row>
    <row r="5">
      <c r="A5">
        <f t="array" ref="A5">IFERROR(SMALL(IF('射擊表'!$A$2:$A$500=1,'射擊表'!$B$2:$B$500),4),NA())</f>
      </c>
      <c r="B5">
        <f t="array" ref="B5">IFERROR(INDEX('射擊表'!$C$2:$C$500,MATCH(1,('射擊表'!$A$2:$A$500=1)*('射擊表'!$B$2:$B$500=A5),0)),NA())</f>
      </c>
      <c r="C5">
        <f t="array" ref="C5">IFERROR(INDEX('射擊表'!$D$2:$D$500,MATCH(1,('射擊表'!$A$2:$A$500=1)*('射擊表'!$B$2:$B$500=A5),0)),NA())</f>
      </c>
      <c r="D5">
        <f t="array" ref="D5">IFERROR(SMALL(IF('射擊表'!$A$2:$A$500=2,'射擊表'!$B$2:$B$500),4),NA())</f>
      </c>
      <c r="E5">
        <f t="array" ref="E5">IFERROR(INDEX('射擊表'!$C$2:$C$500,MATCH(1,('射擊表'!$A$2:$A$500=2)*('射擊表'!$B$2:$B$500=D5),0)),NA())</f>
      </c>
      <c r="F5">
        <f t="array" ref="F5">IFERROR(INDEX('射擊表'!$D$2:$D$500,MATCH(1,('射擊表'!$A$2:$A$500=2)*('射擊表'!$B$2:$B$500=D5),0)),NA())</f>
      </c>
      <c r="G5">
        <f t="array" ref="G5">IFERROR(SMALL(IF('射擊表'!$A$2:$A$500=3,'射擊表'!$B$2:$B$500),4),NA())</f>
      </c>
      <c r="H5">
        <f t="array" ref="H5">IFERROR(INDEX('射擊表'!$C$2:$C$500,MATCH(1,('射擊表'!$A$2:$A$500=3)*('射擊表'!$B$2:$B$500=G5),0)),NA())</f>
      </c>
      <c r="I5">
        <f t="array" ref="I5">IFERROR(INDEX('射擊表'!$D$2:$D$500,MATCH(1,('射擊表'!$A$2:$A$500=3)*('射擊表'!$B$2:$B$500=G5),0)),NA())</f>
      </c>
      <c r="J5">
        <f t="array" ref="J5">IFERROR(SMALL(IF('射擊表'!$A$2:$A$500=4,'射擊表'!$B$2:$B$500),4),NA())</f>
      </c>
      <c r="K5">
        <f t="array" ref="K5">IFERROR(INDEX('射擊表'!$C$2:$C$500,MATCH(1,('射擊表'!$A$2:$A$500=4)*('射擊表'!$B$2:$B$500=J5),0)),NA())</f>
      </c>
      <c r="L5">
        <f t="array" ref="L5">IFERROR(INDEX('射擊表'!$D$2:$D$500,MATCH(1,('射擊表'!$A$2:$A$500=4)*('射擊表'!$B$2:$B$500=J5),0)),NA())</f>
      </c>
      <c r="M5">
        <f t="array" ref="M5">IFERROR(SMALL(IF('射擊表'!$A$2:$A$500=5,'射擊表'!$B$2:$B$500),4),NA())</f>
      </c>
      <c r="N5">
        <f t="array" ref="N5">IFERROR(INDEX('射擊表'!$C$2:$C$500,MATCH(1,('射擊表'!$A$2:$A$500=5)*('射擊表'!$B$2:$B$500=M5),0)),NA())</f>
      </c>
      <c r="O5">
        <f t="array" ref="O5">IFERROR(INDEX('射擊表'!$D$2:$D$500,MATCH(1,('射擊表'!$A$2:$A$500=5)*('射擊表'!$B$2:$B$500=M5),0)),NA())</f>
      </c>
      <c r="P5">
        <f t="array" ref="P5">IFERROR(SMALL(IF('射擊表'!$A$2:$A$500=6,'射擊表'!$B$2:$B$500),4),NA())</f>
      </c>
      <c r="Q5">
        <f t="array" ref="Q5">IFERROR(INDEX('射擊表'!$C$2:$C$500,MATCH(1,('射擊表'!$A$2:$A$500=6)*('射擊表'!$B$2:$B$500=P5),0)),NA())</f>
      </c>
      <c r="R5">
        <f t="array" ref="R5">IFERROR(INDEX('射擊表'!$D$2:$D$500,MATCH(1,('射擊表'!$A$2:$A$500=6)*('射擊表'!$B$2:$B$500=P5),0)),NA())</f>
      </c>
      <c r="S5">
        <f t="array" ref="S5">IFERROR(SMALL(IF('射擊表'!$A$2:$A$500=7,'射擊表'!$B$2:$B$500),4),NA())</f>
      </c>
      <c r="T5">
        <f t="array" ref="T5">IFERROR(INDEX('射擊表'!$C$2:$C$500,MATCH(1,('射擊表'!$A$2:$A$500=7)*('射擊表'!$B$2:$B$500=S5),0)),NA())</f>
      </c>
      <c r="U5">
        <f t="array" ref="U5">IFERROR(INDEX('射擊表'!$D$2:$D$500,MATCH(1,('射擊表'!$A$2:$A$500=7)*('射擊表'!$B$2:$B$500=S5),0)),NA())</f>
      </c>
      <c r="V5">
        <f t="array" ref="V5">IFERROR(SMALL(IF('射擊表'!$A$2:$A$500=8,'射擊表'!$B$2:$B$500),4),NA())</f>
      </c>
      <c r="W5">
        <f t="array" ref="W5">IFERROR(INDEX('射擊表'!$C$2:$C$500,MATCH(1,('射擊表'!$A$2:$A$500=8)*('射擊表'!$B$2:$B$500=V5),0)),NA())</f>
      </c>
      <c r="X5">
        <f t="array" ref="X5">IFERROR(INDEX('射擊表'!$D$2:$D$500,MATCH(1,('射擊表'!$A$2:$A$500=8)*('射擊表'!$B$2:$B$500=V5),0)),NA())</f>
      </c>
      <c r="Y5">
        <f t="array" ref="Y5">IFERROR(SMALL(IF('射擊表'!$A$2:$A$500=9,'射擊表'!$B$2:$B$500),4),NA())</f>
      </c>
      <c r="Z5">
        <f t="array" ref="Z5">IFERROR(INDEX('射擊表'!$C$2:$C$500,MATCH(1,('射擊表'!$A$2:$A$500=9)*('射擊表'!$B$2:$B$500=Y5),0)),NA())</f>
      </c>
      <c r="AA5">
        <f t="array" ref="AA5">IFERROR(INDEX('射擊表'!$D$2:$D$500,MATCH(1,('射擊表'!$A$2:$A$500=9)*('射擊表'!$B$2:$B$500=Y5),0)),NA())</f>
      </c>
    </row>
    <row r="6">
      <c r="A6">
        <f t="array" ref="A6">IFERROR(SMALL(IF('射擊表'!$A$2:$A$500=1,'射擊表'!$B$2:$B$500),5),NA())</f>
      </c>
      <c r="B6">
        <f t="array" ref="B6">IFERROR(INDEX('射擊表'!$C$2:$C$500,MATCH(1,('射擊表'!$A$2:$A$500=1)*('射擊表'!$B$2:$B$500=A6),0)),NA())</f>
      </c>
      <c r="C6">
        <f t="array" ref="C6">IFERROR(INDEX('射擊表'!$D$2:$D$500,MATCH(1,('射擊表'!$A$2:$A$500=1)*('射擊表'!$B$2:$B$500=A6),0)),NA())</f>
      </c>
      <c r="D6">
        <f t="array" ref="D6">IFERROR(SMALL(IF('射擊表'!$A$2:$A$500=2,'射擊表'!$B$2:$B$500),5),NA())</f>
      </c>
      <c r="E6">
        <f t="array" ref="E6">IFERROR(INDEX('射擊表'!$C$2:$C$500,MATCH(1,('射擊表'!$A$2:$A$500=2)*('射擊表'!$B$2:$B$500=D6),0)),NA())</f>
      </c>
      <c r="F6">
        <f t="array" ref="F6">IFERROR(INDEX('射擊表'!$D$2:$D$500,MATCH(1,('射擊表'!$A$2:$A$500=2)*('射擊表'!$B$2:$B$500=D6),0)),NA())</f>
      </c>
      <c r="G6">
        <f t="array" ref="G6">IFERROR(SMALL(IF('射擊表'!$A$2:$A$500=3,'射擊表'!$B$2:$B$500),5),NA())</f>
      </c>
      <c r="H6">
        <f t="array" ref="H6">IFERROR(INDEX('射擊表'!$C$2:$C$500,MATCH(1,('射擊表'!$A$2:$A$500=3)*('射擊表'!$B$2:$B$500=G6),0)),NA())</f>
      </c>
      <c r="I6">
        <f t="array" ref="I6">IFERROR(INDEX('射擊表'!$D$2:$D$500,MATCH(1,('射擊表'!$A$2:$A$500=3)*('射擊表'!$B$2:$B$500=G6),0)),NA())</f>
      </c>
      <c r="J6">
        <f t="array" ref="J6">IFERROR(SMALL(IF('射擊表'!$A$2:$A$500=4,'射擊表'!$B$2:$B$500),5),NA())</f>
      </c>
      <c r="K6">
        <f t="array" ref="K6">IFERROR(INDEX('射擊表'!$C$2:$C$500,MATCH(1,('射擊表'!$A$2:$A$500=4)*('射擊表'!$B$2:$B$500=J6),0)),NA())</f>
      </c>
      <c r="L6">
        <f t="array" ref="L6">IFERROR(INDEX('射擊表'!$D$2:$D$500,MATCH(1,('射擊表'!$A$2:$A$500=4)*('射擊表'!$B$2:$B$500=J6),0)),NA())</f>
      </c>
      <c r="M6">
        <f t="array" ref="M6">IFERROR(SMALL(IF('射擊表'!$A$2:$A$500=5,'射擊表'!$B$2:$B$500),5),NA())</f>
      </c>
      <c r="N6">
        <f t="array" ref="N6">IFERROR(INDEX('射擊表'!$C$2:$C$500,MATCH(1,('射擊表'!$A$2:$A$500=5)*('射擊表'!$B$2:$B$500=M6),0)),NA())</f>
      </c>
      <c r="O6">
        <f t="array" ref="O6">IFERROR(INDEX('射擊表'!$D$2:$D$500,MATCH(1,('射擊表'!$A$2:$A$500=5)*('射擊表'!$B$2:$B$500=M6),0)),NA())</f>
      </c>
      <c r="P6">
        <f t="array" ref="P6">IFERROR(SMALL(IF('射擊表'!$A$2:$A$500=6,'射擊表'!$B$2:$B$500),5),NA())</f>
      </c>
      <c r="Q6">
        <f t="array" ref="Q6">IFERROR(INDEX('射擊表'!$C$2:$C$500,MATCH(1,('射擊表'!$A$2:$A$500=6)*('射擊表'!$B$2:$B$500=P6),0)),NA())</f>
      </c>
      <c r="R6">
        <f t="array" ref="R6">IFERROR(INDEX('射擊表'!$D$2:$D$500,MATCH(1,('射擊表'!$A$2:$A$500=6)*('射擊表'!$B$2:$B$500=P6),0)),NA())</f>
      </c>
      <c r="S6">
        <f t="array" ref="S6">IFERROR(SMALL(IF('射擊表'!$A$2:$A$500=7,'射擊表'!$B$2:$B$500),5),NA())</f>
      </c>
      <c r="T6">
        <f t="array" ref="T6">IFERROR(INDEX('射擊表'!$C$2:$C$500,MATCH(1,('射擊表'!$A$2:$A$500=7)*('射擊表'!$B$2:$B$500=S6),0)),NA())</f>
      </c>
      <c r="U6">
        <f t="array" ref="U6">IFERROR(INDEX('射擊表'!$D$2:$D$500,MATCH(1,('射擊表'!$A$2:$A$500=7)*('射擊表'!$B$2:$B$500=S6),0)),NA())</f>
      </c>
      <c r="V6">
        <f t="array" ref="V6">IFERROR(SMALL(IF('射擊表'!$A$2:$A$500=8,'射擊表'!$B$2:$B$500),5),NA())</f>
      </c>
      <c r="W6">
        <f t="array" ref="W6">IFERROR(INDEX('射擊表'!$C$2:$C$500,MATCH(1,('射擊表'!$A$2:$A$500=8)*('射擊表'!$B$2:$B$500=V6),0)),NA())</f>
      </c>
      <c r="X6">
        <f t="array" ref="X6">IFERROR(INDEX('射擊表'!$D$2:$D$500,MATCH(1,('射擊表'!$A$2:$A$500=8)*('射擊表'!$B$2:$B$500=V6),0)),NA())</f>
      </c>
      <c r="Y6">
        <f t="array" ref="Y6">IFERROR(SMALL(IF('射擊表'!$A$2:$A$500=9,'射擊表'!$B$2:$B$500),5),NA())</f>
      </c>
      <c r="Z6">
        <f t="array" ref="Z6">IFERROR(INDEX('射擊表'!$C$2:$C$500,MATCH(1,('射擊表'!$A$2:$A$500=9)*('射擊表'!$B$2:$B$500=Y6),0)),NA())</f>
      </c>
      <c r="AA6">
        <f t="array" ref="AA6">IFERROR(INDEX('射擊表'!$D$2:$D$500,MATCH(1,('射擊表'!$A$2:$A$500=9)*('射擊表'!$B$2:$B$500=Y6),0)),NA())</f>
      </c>
    </row>
    <row r="7">
      <c r="A7">
        <f t="array" ref="A7">IFERROR(SMALL(IF('射擊表'!$A$2:$A$500=1,'射擊表'!$B$2:$B$500),6),NA())</f>
      </c>
      <c r="B7">
        <f t="array" ref="B7">IFERROR(INDEX('射擊表'!$C$2:$C$500,MATCH(1,('射擊表'!$A$2:$A$500=1)*('射擊表'!$B$2:$B$500=A7),0)),NA())</f>
      </c>
      <c r="C7">
        <f t="array" ref="C7">IFERROR(INDEX('射擊表'!$D$2:$D$500,MATCH(1,('射擊表'!$A$2:$A$500=1)*('射擊表'!$B$2:$B$500=A7),0)),NA())</f>
      </c>
      <c r="D7">
        <f t="array" ref="D7">IFERROR(SMALL(IF('射擊表'!$A$2:$A$500=2,'射擊表'!$B$2:$B$500),6),NA())</f>
      </c>
      <c r="E7">
        <f t="array" ref="E7">IFERROR(INDEX('射擊表'!$C$2:$C$500,MATCH(1,('射擊表'!$A$2:$A$500=2)*('射擊表'!$B$2:$B$500=D7),0)),NA())</f>
      </c>
      <c r="F7">
        <f t="array" ref="F7">IFERROR(INDEX('射擊表'!$D$2:$D$500,MATCH(1,('射擊表'!$A$2:$A$500=2)*('射擊表'!$B$2:$B$500=D7),0)),NA())</f>
      </c>
      <c r="G7">
        <f t="array" ref="G7">IFERROR(SMALL(IF('射擊表'!$A$2:$A$500=3,'射擊表'!$B$2:$B$500),6),NA())</f>
      </c>
      <c r="H7">
        <f t="array" ref="H7">IFERROR(INDEX('射擊表'!$C$2:$C$500,MATCH(1,('射擊表'!$A$2:$A$500=3)*('射擊表'!$B$2:$B$500=G7),0)),NA())</f>
      </c>
      <c r="I7">
        <f t="array" ref="I7">IFERROR(INDEX('射擊表'!$D$2:$D$500,MATCH(1,('射擊表'!$A$2:$A$500=3)*('射擊表'!$B$2:$B$500=G7),0)),NA())</f>
      </c>
      <c r="J7">
        <f t="array" ref="J7">IFERROR(SMALL(IF('射擊表'!$A$2:$A$500=4,'射擊表'!$B$2:$B$500),6),NA())</f>
      </c>
      <c r="K7">
        <f t="array" ref="K7">IFERROR(INDEX('射擊表'!$C$2:$C$500,MATCH(1,('射擊表'!$A$2:$A$500=4)*('射擊表'!$B$2:$B$500=J7),0)),NA())</f>
      </c>
      <c r="L7">
        <f t="array" ref="L7">IFERROR(INDEX('射擊表'!$D$2:$D$500,MATCH(1,('射擊表'!$A$2:$A$500=4)*('射擊表'!$B$2:$B$500=J7),0)),NA())</f>
      </c>
      <c r="M7">
        <f t="array" ref="M7">IFERROR(SMALL(IF('射擊表'!$A$2:$A$500=5,'射擊表'!$B$2:$B$500),6),NA())</f>
      </c>
      <c r="N7">
        <f t="array" ref="N7">IFERROR(INDEX('射擊表'!$C$2:$C$500,MATCH(1,('射擊表'!$A$2:$A$500=5)*('射擊表'!$B$2:$B$500=M7),0)),NA())</f>
      </c>
      <c r="O7">
        <f t="array" ref="O7">IFERROR(INDEX('射擊表'!$D$2:$D$500,MATCH(1,('射擊表'!$A$2:$A$500=5)*('射擊表'!$B$2:$B$500=M7),0)),NA())</f>
      </c>
      <c r="P7">
        <f t="array" ref="P7">IFERROR(SMALL(IF('射擊表'!$A$2:$A$500=6,'射擊表'!$B$2:$B$500),6),NA())</f>
      </c>
      <c r="Q7">
        <f t="array" ref="Q7">IFERROR(INDEX('射擊表'!$C$2:$C$500,MATCH(1,('射擊表'!$A$2:$A$500=6)*('射擊表'!$B$2:$B$500=P7),0)),NA())</f>
      </c>
      <c r="R7">
        <f t="array" ref="R7">IFERROR(INDEX('射擊表'!$D$2:$D$500,MATCH(1,('射擊表'!$A$2:$A$500=6)*('射擊表'!$B$2:$B$500=P7),0)),NA())</f>
      </c>
      <c r="S7">
        <f t="array" ref="S7">IFERROR(SMALL(IF('射擊表'!$A$2:$A$500=7,'射擊表'!$B$2:$B$500),6),NA())</f>
      </c>
      <c r="T7">
        <f t="array" ref="T7">IFERROR(INDEX('射擊表'!$C$2:$C$500,MATCH(1,('射擊表'!$A$2:$A$500=7)*('射擊表'!$B$2:$B$500=S7),0)),NA())</f>
      </c>
      <c r="U7">
        <f t="array" ref="U7">IFERROR(INDEX('射擊表'!$D$2:$D$500,MATCH(1,('射擊表'!$A$2:$A$500=7)*('射擊表'!$B$2:$B$500=S7),0)),NA())</f>
      </c>
      <c r="V7">
        <f t="array" ref="V7">IFERROR(SMALL(IF('射擊表'!$A$2:$A$500=8,'射擊表'!$B$2:$B$500),6),NA())</f>
      </c>
      <c r="W7">
        <f t="array" ref="W7">IFERROR(INDEX('射擊表'!$C$2:$C$500,MATCH(1,('射擊表'!$A$2:$A$500=8)*('射擊表'!$B$2:$B$500=V7),0)),NA())</f>
      </c>
      <c r="X7">
        <f t="array" ref="X7">IFERROR(INDEX('射擊表'!$D$2:$D$500,MATCH(1,('射擊表'!$A$2:$A$500=8)*('射擊表'!$B$2:$B$500=V7),0)),NA())</f>
      </c>
      <c r="Y7">
        <f t="array" ref="Y7">IFERROR(SMALL(IF('射擊表'!$A$2:$A$500=9,'射擊表'!$B$2:$B$500),6),NA())</f>
      </c>
      <c r="Z7">
        <f t="array" ref="Z7">IFERROR(INDEX('射擊表'!$C$2:$C$500,MATCH(1,('射擊表'!$A$2:$A$500=9)*('射擊表'!$B$2:$B$500=Y7),0)),NA())</f>
      </c>
      <c r="AA7">
        <f t="array" ref="AA7">IFERROR(INDEX('射擊表'!$D$2:$D$500,MATCH(1,('射擊表'!$A$2:$A$500=9)*('射擊表'!$B$2:$B$500=Y7),0)),NA())</f>
      </c>
    </row>
    <row r="8">
      <c r="A8">
        <f t="array" ref="A8">IFERROR(SMALL(IF('射擊表'!$A$2:$A$500=1,'射擊表'!$B$2:$B$500),7),NA())</f>
      </c>
      <c r="B8">
        <f t="array" ref="B8">IFERROR(INDEX('射擊表'!$C$2:$C$500,MATCH(1,('射擊表'!$A$2:$A$500=1)*('射擊表'!$B$2:$B$500=A8),0)),NA())</f>
      </c>
      <c r="C8">
        <f t="array" ref="C8">IFERROR(INDEX('射擊表'!$D$2:$D$500,MATCH(1,('射擊表'!$A$2:$A$500=1)*('射擊表'!$B$2:$B$500=A8),0)),NA())</f>
      </c>
      <c r="D8">
        <f t="array" ref="D8">IFERROR(SMALL(IF('射擊表'!$A$2:$A$500=2,'射擊表'!$B$2:$B$500),7),NA())</f>
      </c>
      <c r="E8">
        <f t="array" ref="E8">IFERROR(INDEX('射擊表'!$C$2:$C$500,MATCH(1,('射擊表'!$A$2:$A$500=2)*('射擊表'!$B$2:$B$500=D8),0)),NA())</f>
      </c>
      <c r="F8">
        <f t="array" ref="F8">IFERROR(INDEX('射擊表'!$D$2:$D$500,MATCH(1,('射擊表'!$A$2:$A$500=2)*('射擊表'!$B$2:$B$500=D8),0)),NA())</f>
      </c>
      <c r="G8">
        <f t="array" ref="G8">IFERROR(SMALL(IF('射擊表'!$A$2:$A$500=3,'射擊表'!$B$2:$B$500),7),NA())</f>
      </c>
      <c r="H8">
        <f t="array" ref="H8">IFERROR(INDEX('射擊表'!$C$2:$C$500,MATCH(1,('射擊表'!$A$2:$A$500=3)*('射擊表'!$B$2:$B$500=G8),0)),NA())</f>
      </c>
      <c r="I8">
        <f t="array" ref="I8">IFERROR(INDEX('射擊表'!$D$2:$D$500,MATCH(1,('射擊表'!$A$2:$A$500=3)*('射擊表'!$B$2:$B$500=G8),0)),NA())</f>
      </c>
      <c r="J8">
        <f t="array" ref="J8">IFERROR(SMALL(IF('射擊表'!$A$2:$A$500=4,'射擊表'!$B$2:$B$500),7),NA())</f>
      </c>
      <c r="K8">
        <f t="array" ref="K8">IFERROR(INDEX('射擊表'!$C$2:$C$500,MATCH(1,('射擊表'!$A$2:$A$500=4)*('射擊表'!$B$2:$B$500=J8),0)),NA())</f>
      </c>
      <c r="L8">
        <f t="array" ref="L8">IFERROR(INDEX('射擊表'!$D$2:$D$500,MATCH(1,('射擊表'!$A$2:$A$500=4)*('射擊表'!$B$2:$B$500=J8),0)),NA())</f>
      </c>
      <c r="M8">
        <f t="array" ref="M8">IFERROR(SMALL(IF('射擊表'!$A$2:$A$500=5,'射擊表'!$B$2:$B$500),7),NA())</f>
      </c>
      <c r="N8">
        <f t="array" ref="N8">IFERROR(INDEX('射擊表'!$C$2:$C$500,MATCH(1,('射擊表'!$A$2:$A$500=5)*('射擊表'!$B$2:$B$500=M8),0)),NA())</f>
      </c>
      <c r="O8">
        <f t="array" ref="O8">IFERROR(INDEX('射擊表'!$D$2:$D$500,MATCH(1,('射擊表'!$A$2:$A$500=5)*('射擊表'!$B$2:$B$500=M8),0)),NA())</f>
      </c>
      <c r="P8">
        <f t="array" ref="P8">IFERROR(SMALL(IF('射擊表'!$A$2:$A$500=6,'射擊表'!$B$2:$B$500),7),NA())</f>
      </c>
      <c r="Q8">
        <f t="array" ref="Q8">IFERROR(INDEX('射擊表'!$C$2:$C$500,MATCH(1,('射擊表'!$A$2:$A$500=6)*('射擊表'!$B$2:$B$500=P8),0)),NA())</f>
      </c>
      <c r="R8">
        <f t="array" ref="R8">IFERROR(INDEX('射擊表'!$D$2:$D$500,MATCH(1,('射擊表'!$A$2:$A$500=6)*('射擊表'!$B$2:$B$500=P8),0)),NA())</f>
      </c>
      <c r="S8">
        <f t="array" ref="S8">IFERROR(SMALL(IF('射擊表'!$A$2:$A$500=7,'射擊表'!$B$2:$B$500),7),NA())</f>
      </c>
      <c r="T8">
        <f t="array" ref="T8">IFERROR(INDEX('射擊表'!$C$2:$C$500,MATCH(1,('射擊表'!$A$2:$A$500=7)*('射擊表'!$B$2:$B$500=S8),0)),NA())</f>
      </c>
      <c r="U8">
        <f t="array" ref="U8">IFERROR(INDEX('射擊表'!$D$2:$D$500,MATCH(1,('射擊表'!$A$2:$A$500=7)*('射擊表'!$B$2:$B$500=S8),0)),NA())</f>
      </c>
      <c r="V8">
        <f t="array" ref="V8">IFERROR(SMALL(IF('射擊表'!$A$2:$A$500=8,'射擊表'!$B$2:$B$500),7),NA())</f>
      </c>
      <c r="W8">
        <f t="array" ref="W8">IFERROR(INDEX('射擊表'!$C$2:$C$500,MATCH(1,('射擊表'!$A$2:$A$500=8)*('射擊表'!$B$2:$B$500=V8),0)),NA())</f>
      </c>
      <c r="X8">
        <f t="array" ref="X8">IFERROR(INDEX('射擊表'!$D$2:$D$500,MATCH(1,('射擊表'!$A$2:$A$500=8)*('射擊表'!$B$2:$B$500=V8),0)),NA())</f>
      </c>
      <c r="Y8">
        <f t="array" ref="Y8">IFERROR(SMALL(IF('射擊表'!$A$2:$A$500=9,'射擊表'!$B$2:$B$500),7),NA())</f>
      </c>
      <c r="Z8">
        <f t="array" ref="Z8">IFERROR(INDEX('射擊表'!$C$2:$C$500,MATCH(1,('射擊表'!$A$2:$A$500=9)*('射擊表'!$B$2:$B$500=Y8),0)),NA())</f>
      </c>
      <c r="AA8">
        <f t="array" ref="AA8">IFERROR(INDEX('射擊表'!$D$2:$D$500,MATCH(1,('射擊表'!$A$2:$A$500=9)*('射擊表'!$B$2:$B$500=Y8),0)),NA())</f>
      </c>
    </row>
    <row r="9">
      <c r="A9">
        <f t="array" ref="A9">IFERROR(SMALL(IF('射擊表'!$A$2:$A$500=1,'射擊表'!$B$2:$B$500),8),NA())</f>
      </c>
      <c r="B9">
        <f t="array" ref="B9">IFERROR(INDEX('射擊表'!$C$2:$C$500,MATCH(1,('射擊表'!$A$2:$A$500=1)*('射擊表'!$B$2:$B$500=A9),0)),NA())</f>
      </c>
      <c r="C9">
        <f t="array" ref="C9">IFERROR(INDEX('射擊表'!$D$2:$D$500,MATCH(1,('射擊表'!$A$2:$A$500=1)*('射擊表'!$B$2:$B$500=A9),0)),NA())</f>
      </c>
      <c r="D9">
        <f t="array" ref="D9">IFERROR(SMALL(IF('射擊表'!$A$2:$A$500=2,'射擊表'!$B$2:$B$500),8),NA())</f>
      </c>
      <c r="E9">
        <f t="array" ref="E9">IFERROR(INDEX('射擊表'!$C$2:$C$500,MATCH(1,('射擊表'!$A$2:$A$500=2)*('射擊表'!$B$2:$B$500=D9),0)),NA())</f>
      </c>
      <c r="F9">
        <f t="array" ref="F9">IFERROR(INDEX('射擊表'!$D$2:$D$500,MATCH(1,('射擊表'!$A$2:$A$500=2)*('射擊表'!$B$2:$B$500=D9),0)),NA())</f>
      </c>
      <c r="G9">
        <f t="array" ref="G9">IFERROR(SMALL(IF('射擊表'!$A$2:$A$500=3,'射擊表'!$B$2:$B$500),8),NA())</f>
      </c>
      <c r="H9">
        <f t="array" ref="H9">IFERROR(INDEX('射擊表'!$C$2:$C$500,MATCH(1,('射擊表'!$A$2:$A$500=3)*('射擊表'!$B$2:$B$500=G9),0)),NA())</f>
      </c>
      <c r="I9">
        <f t="array" ref="I9">IFERROR(INDEX('射擊表'!$D$2:$D$500,MATCH(1,('射擊表'!$A$2:$A$500=3)*('射擊表'!$B$2:$B$500=G9),0)),NA())</f>
      </c>
      <c r="J9">
        <f t="array" ref="J9">IFERROR(SMALL(IF('射擊表'!$A$2:$A$500=4,'射擊表'!$B$2:$B$500),8),NA())</f>
      </c>
      <c r="K9">
        <f t="array" ref="K9">IFERROR(INDEX('射擊表'!$C$2:$C$500,MATCH(1,('射擊表'!$A$2:$A$500=4)*('射擊表'!$B$2:$B$500=J9),0)),NA())</f>
      </c>
      <c r="L9">
        <f t="array" ref="L9">IFERROR(INDEX('射擊表'!$D$2:$D$500,MATCH(1,('射擊表'!$A$2:$A$500=4)*('射擊表'!$B$2:$B$500=J9),0)),NA())</f>
      </c>
      <c r="M9">
        <f t="array" ref="M9">IFERROR(SMALL(IF('射擊表'!$A$2:$A$500=5,'射擊表'!$B$2:$B$500),8),NA())</f>
      </c>
      <c r="N9">
        <f t="array" ref="N9">IFERROR(INDEX('射擊表'!$C$2:$C$500,MATCH(1,('射擊表'!$A$2:$A$500=5)*('射擊表'!$B$2:$B$500=M9),0)),NA())</f>
      </c>
      <c r="O9">
        <f t="array" ref="O9">IFERROR(INDEX('射擊表'!$D$2:$D$500,MATCH(1,('射擊表'!$A$2:$A$500=5)*('射擊表'!$B$2:$B$500=M9),0)),NA())</f>
      </c>
      <c r="P9">
        <f t="array" ref="P9">IFERROR(SMALL(IF('射擊表'!$A$2:$A$500=6,'射擊表'!$B$2:$B$500),8),NA())</f>
      </c>
      <c r="Q9">
        <f t="array" ref="Q9">IFERROR(INDEX('射擊表'!$C$2:$C$500,MATCH(1,('射擊表'!$A$2:$A$500=6)*('射擊表'!$B$2:$B$500=P9),0)),NA())</f>
      </c>
      <c r="R9">
        <f t="array" ref="R9">IFERROR(INDEX('射擊表'!$D$2:$D$500,MATCH(1,('射擊表'!$A$2:$A$500=6)*('射擊表'!$B$2:$B$500=P9),0)),NA())</f>
      </c>
      <c r="S9">
        <f t="array" ref="S9">IFERROR(SMALL(IF('射擊表'!$A$2:$A$500=7,'射擊表'!$B$2:$B$500),8),NA())</f>
      </c>
      <c r="T9">
        <f t="array" ref="T9">IFERROR(INDEX('射擊表'!$C$2:$C$500,MATCH(1,('射擊表'!$A$2:$A$500=7)*('射擊表'!$B$2:$B$500=S9),0)),NA())</f>
      </c>
      <c r="U9">
        <f t="array" ref="U9">IFERROR(INDEX('射擊表'!$D$2:$D$500,MATCH(1,('射擊表'!$A$2:$A$500=7)*('射擊表'!$B$2:$B$500=S9),0)),NA())</f>
      </c>
      <c r="V9">
        <f t="array" ref="V9">IFERROR(SMALL(IF('射擊表'!$A$2:$A$500=8,'射擊表'!$B$2:$B$500),8),NA())</f>
      </c>
      <c r="W9">
        <f t="array" ref="W9">IFERROR(INDEX('射擊表'!$C$2:$C$500,MATCH(1,('射擊表'!$A$2:$A$500=8)*('射擊表'!$B$2:$B$500=V9),0)),NA())</f>
      </c>
      <c r="X9">
        <f t="array" ref="X9">IFERROR(INDEX('射擊表'!$D$2:$D$500,MATCH(1,('射擊表'!$A$2:$A$500=8)*('射擊表'!$B$2:$B$500=V9),0)),NA())</f>
      </c>
      <c r="Y9">
        <f t="array" ref="Y9">IFERROR(SMALL(IF('射擊表'!$A$2:$A$500=9,'射擊表'!$B$2:$B$500),8),NA())</f>
      </c>
      <c r="Z9">
        <f t="array" ref="Z9">IFERROR(INDEX('射擊表'!$C$2:$C$500,MATCH(1,('射擊表'!$A$2:$A$500=9)*('射擊表'!$B$2:$B$500=Y9),0)),NA())</f>
      </c>
      <c r="AA9">
        <f t="array" ref="AA9">IFERROR(INDEX('射擊表'!$D$2:$D$500,MATCH(1,('射擊表'!$A$2:$A$500=9)*('射擊表'!$B$2:$B$500=Y9),0)),NA())</f>
      </c>
    </row>
    <row r="10">
      <c r="A10">
        <f t="array" ref="A10">IFERROR(SMALL(IF('射擊表'!$A$2:$A$500=1,'射擊表'!$B$2:$B$500),9),NA())</f>
      </c>
      <c r="B10">
        <f t="array" ref="B10">IFERROR(INDEX('射擊表'!$C$2:$C$500,MATCH(1,('射擊表'!$A$2:$A$500=1)*('射擊表'!$B$2:$B$500=A10),0)),NA())</f>
      </c>
      <c r="C10">
        <f t="array" ref="C10">IFERROR(INDEX('射擊表'!$D$2:$D$500,MATCH(1,('射擊表'!$A$2:$A$500=1)*('射擊表'!$B$2:$B$500=A10),0)),NA())</f>
      </c>
      <c r="D10">
        <f t="array" ref="D10">IFERROR(SMALL(IF('射擊表'!$A$2:$A$500=2,'射擊表'!$B$2:$B$500),9),NA())</f>
      </c>
      <c r="E10">
        <f t="array" ref="E10">IFERROR(INDEX('射擊表'!$C$2:$C$500,MATCH(1,('射擊表'!$A$2:$A$500=2)*('射擊表'!$B$2:$B$500=D10),0)),NA())</f>
      </c>
      <c r="F10">
        <f t="array" ref="F10">IFERROR(INDEX('射擊表'!$D$2:$D$500,MATCH(1,('射擊表'!$A$2:$A$500=2)*('射擊表'!$B$2:$B$500=D10),0)),NA())</f>
      </c>
      <c r="G10">
        <f t="array" ref="G10">IFERROR(SMALL(IF('射擊表'!$A$2:$A$500=3,'射擊表'!$B$2:$B$500),9),NA())</f>
      </c>
      <c r="H10">
        <f t="array" ref="H10">IFERROR(INDEX('射擊表'!$C$2:$C$500,MATCH(1,('射擊表'!$A$2:$A$500=3)*('射擊表'!$B$2:$B$500=G10),0)),NA())</f>
      </c>
      <c r="I10">
        <f t="array" ref="I10">IFERROR(INDEX('射擊表'!$D$2:$D$500,MATCH(1,('射擊表'!$A$2:$A$500=3)*('射擊表'!$B$2:$B$500=G10),0)),NA())</f>
      </c>
      <c r="J10">
        <f t="array" ref="J10">IFERROR(SMALL(IF('射擊表'!$A$2:$A$500=4,'射擊表'!$B$2:$B$500),9),NA())</f>
      </c>
      <c r="K10">
        <f t="array" ref="K10">IFERROR(INDEX('射擊表'!$C$2:$C$500,MATCH(1,('射擊表'!$A$2:$A$500=4)*('射擊表'!$B$2:$B$500=J10),0)),NA())</f>
      </c>
      <c r="L10">
        <f t="array" ref="L10">IFERROR(INDEX('射擊表'!$D$2:$D$500,MATCH(1,('射擊表'!$A$2:$A$500=4)*('射擊表'!$B$2:$B$500=J10),0)),NA())</f>
      </c>
      <c r="M10">
        <f t="array" ref="M10">IFERROR(SMALL(IF('射擊表'!$A$2:$A$500=5,'射擊表'!$B$2:$B$500),9),NA())</f>
      </c>
      <c r="N10">
        <f t="array" ref="N10">IFERROR(INDEX('射擊表'!$C$2:$C$500,MATCH(1,('射擊表'!$A$2:$A$500=5)*('射擊表'!$B$2:$B$500=M10),0)),NA())</f>
      </c>
      <c r="O10">
        <f t="array" ref="O10">IFERROR(INDEX('射擊表'!$D$2:$D$500,MATCH(1,('射擊表'!$A$2:$A$500=5)*('射擊表'!$B$2:$B$500=M10),0)),NA())</f>
      </c>
      <c r="P10">
        <f t="array" ref="P10">IFERROR(SMALL(IF('射擊表'!$A$2:$A$500=6,'射擊表'!$B$2:$B$500),9),NA())</f>
      </c>
      <c r="Q10">
        <f t="array" ref="Q10">IFERROR(INDEX('射擊表'!$C$2:$C$500,MATCH(1,('射擊表'!$A$2:$A$500=6)*('射擊表'!$B$2:$B$500=P10),0)),NA())</f>
      </c>
      <c r="R10">
        <f t="array" ref="R10">IFERROR(INDEX('射擊表'!$D$2:$D$500,MATCH(1,('射擊表'!$A$2:$A$500=6)*('射擊表'!$B$2:$B$500=P10),0)),NA())</f>
      </c>
      <c r="S10">
        <f t="array" ref="S10">IFERROR(SMALL(IF('射擊表'!$A$2:$A$500=7,'射擊表'!$B$2:$B$500),9),NA())</f>
      </c>
      <c r="T10">
        <f t="array" ref="T10">IFERROR(INDEX('射擊表'!$C$2:$C$500,MATCH(1,('射擊表'!$A$2:$A$500=7)*('射擊表'!$B$2:$B$500=S10),0)),NA())</f>
      </c>
      <c r="U10">
        <f t="array" ref="U10">IFERROR(INDEX('射擊表'!$D$2:$D$500,MATCH(1,('射擊表'!$A$2:$A$500=7)*('射擊表'!$B$2:$B$500=S10),0)),NA())</f>
      </c>
      <c r="V10">
        <f t="array" ref="V10">IFERROR(SMALL(IF('射擊表'!$A$2:$A$500=8,'射擊表'!$B$2:$B$500),9),NA())</f>
      </c>
      <c r="W10">
        <f t="array" ref="W10">IFERROR(INDEX('射擊表'!$C$2:$C$500,MATCH(1,('射擊表'!$A$2:$A$500=8)*('射擊表'!$B$2:$B$500=V10),0)),NA())</f>
      </c>
      <c r="X10">
        <f t="array" ref="X10">IFERROR(INDEX('射擊表'!$D$2:$D$500,MATCH(1,('射擊表'!$A$2:$A$500=8)*('射擊表'!$B$2:$B$500=V10),0)),NA())</f>
      </c>
      <c r="Y10">
        <f t="array" ref="Y10">IFERROR(SMALL(IF('射擊表'!$A$2:$A$500=9,'射擊表'!$B$2:$B$500),9),NA())</f>
      </c>
      <c r="Z10">
        <f t="array" ref="Z10">IFERROR(INDEX('射擊表'!$C$2:$C$500,MATCH(1,('射擊表'!$A$2:$A$500=9)*('射擊表'!$B$2:$B$500=Y10),0)),NA())</f>
      </c>
      <c r="AA10">
        <f t="array" ref="AA10">IFERROR(INDEX('射擊表'!$D$2:$D$500,MATCH(1,('射擊表'!$A$2:$A$500=9)*('射擊表'!$B$2:$B$500=Y10),0)),NA())</f>
      </c>
    </row>
    <row r="11">
      <c r="A11">
        <f t="array" ref="A11">IFERROR(SMALL(IF('射擊表'!$A$2:$A$500=1,'射擊表'!$B$2:$B$500),10),NA())</f>
      </c>
      <c r="B11">
        <f t="array" ref="B11">IFERROR(INDEX('射擊表'!$C$2:$C$500,MATCH(1,('射擊表'!$A$2:$A$500=1)*('射擊表'!$B$2:$B$500=A11),0)),NA())</f>
      </c>
      <c r="C11">
        <f t="array" ref="C11">IFERROR(INDEX('射擊表'!$D$2:$D$500,MATCH(1,('射擊表'!$A$2:$A$500=1)*('射擊表'!$B$2:$B$500=A11),0)),NA())</f>
      </c>
      <c r="D11">
        <f t="array" ref="D11">IFERROR(SMALL(IF('射擊表'!$A$2:$A$500=2,'射擊表'!$B$2:$B$500),10),NA())</f>
      </c>
      <c r="E11">
        <f t="array" ref="E11">IFERROR(INDEX('射擊表'!$C$2:$C$500,MATCH(1,('射擊表'!$A$2:$A$500=2)*('射擊表'!$B$2:$B$500=D11),0)),NA())</f>
      </c>
      <c r="F11">
        <f t="array" ref="F11">IFERROR(INDEX('射擊表'!$D$2:$D$500,MATCH(1,('射擊表'!$A$2:$A$500=2)*('射擊表'!$B$2:$B$500=D11),0)),NA())</f>
      </c>
      <c r="G11">
        <f t="array" ref="G11">IFERROR(SMALL(IF('射擊表'!$A$2:$A$500=3,'射擊表'!$B$2:$B$500),10),NA())</f>
      </c>
      <c r="H11">
        <f t="array" ref="H11">IFERROR(INDEX('射擊表'!$C$2:$C$500,MATCH(1,('射擊表'!$A$2:$A$500=3)*('射擊表'!$B$2:$B$500=G11),0)),NA())</f>
      </c>
      <c r="I11">
        <f t="array" ref="I11">IFERROR(INDEX('射擊表'!$D$2:$D$500,MATCH(1,('射擊表'!$A$2:$A$500=3)*('射擊表'!$B$2:$B$500=G11),0)),NA())</f>
      </c>
      <c r="J11">
        <f t="array" ref="J11">IFERROR(SMALL(IF('射擊表'!$A$2:$A$500=4,'射擊表'!$B$2:$B$500),10),NA())</f>
      </c>
      <c r="K11">
        <f t="array" ref="K11">IFERROR(INDEX('射擊表'!$C$2:$C$500,MATCH(1,('射擊表'!$A$2:$A$500=4)*('射擊表'!$B$2:$B$500=J11),0)),NA())</f>
      </c>
      <c r="L11">
        <f t="array" ref="L11">IFERROR(INDEX('射擊表'!$D$2:$D$500,MATCH(1,('射擊表'!$A$2:$A$500=4)*('射擊表'!$B$2:$B$500=J11),0)),NA())</f>
      </c>
      <c r="M11">
        <f t="array" ref="M11">IFERROR(SMALL(IF('射擊表'!$A$2:$A$500=5,'射擊表'!$B$2:$B$500),10),NA())</f>
      </c>
      <c r="N11">
        <f t="array" ref="N11">IFERROR(INDEX('射擊表'!$C$2:$C$500,MATCH(1,('射擊表'!$A$2:$A$500=5)*('射擊表'!$B$2:$B$500=M11),0)),NA())</f>
      </c>
      <c r="O11">
        <f t="array" ref="O11">IFERROR(INDEX('射擊表'!$D$2:$D$500,MATCH(1,('射擊表'!$A$2:$A$500=5)*('射擊表'!$B$2:$B$500=M11),0)),NA())</f>
      </c>
      <c r="P11">
        <f t="array" ref="P11">IFERROR(SMALL(IF('射擊表'!$A$2:$A$500=6,'射擊表'!$B$2:$B$500),10),NA())</f>
      </c>
      <c r="Q11">
        <f t="array" ref="Q11">IFERROR(INDEX('射擊表'!$C$2:$C$500,MATCH(1,('射擊表'!$A$2:$A$500=6)*('射擊表'!$B$2:$B$500=P11),0)),NA())</f>
      </c>
      <c r="R11">
        <f t="array" ref="R11">IFERROR(INDEX('射擊表'!$D$2:$D$500,MATCH(1,('射擊表'!$A$2:$A$500=6)*('射擊表'!$B$2:$B$500=P11),0)),NA())</f>
      </c>
      <c r="S11">
        <f t="array" ref="S11">IFERROR(SMALL(IF('射擊表'!$A$2:$A$500=7,'射擊表'!$B$2:$B$500),10),NA())</f>
      </c>
      <c r="T11">
        <f t="array" ref="T11">IFERROR(INDEX('射擊表'!$C$2:$C$500,MATCH(1,('射擊表'!$A$2:$A$500=7)*('射擊表'!$B$2:$B$500=S11),0)),NA())</f>
      </c>
      <c r="U11">
        <f t="array" ref="U11">IFERROR(INDEX('射擊表'!$D$2:$D$500,MATCH(1,('射擊表'!$A$2:$A$500=7)*('射擊表'!$B$2:$B$500=S11),0)),NA())</f>
      </c>
      <c r="V11">
        <f t="array" ref="V11">IFERROR(SMALL(IF('射擊表'!$A$2:$A$500=8,'射擊表'!$B$2:$B$500),10),NA())</f>
      </c>
      <c r="W11">
        <f t="array" ref="W11">IFERROR(INDEX('射擊表'!$C$2:$C$500,MATCH(1,('射擊表'!$A$2:$A$500=8)*('射擊表'!$B$2:$B$500=V11),0)),NA())</f>
      </c>
      <c r="X11">
        <f t="array" ref="X11">IFERROR(INDEX('射擊表'!$D$2:$D$500,MATCH(1,('射擊表'!$A$2:$A$500=8)*('射擊表'!$B$2:$B$500=V11),0)),NA())</f>
      </c>
      <c r="Y11">
        <f t="array" ref="Y11">IFERROR(SMALL(IF('射擊表'!$A$2:$A$500=9,'射擊表'!$B$2:$B$500),10),NA())</f>
      </c>
      <c r="Z11">
        <f t="array" ref="Z11">IFERROR(INDEX('射擊表'!$C$2:$C$500,MATCH(1,('射擊表'!$A$2:$A$500=9)*('射擊表'!$B$2:$B$500=Y11),0)),NA())</f>
      </c>
      <c r="AA11">
        <f t="array" ref="AA11">IFERROR(INDEX('射擊表'!$D$2:$D$500,MATCH(1,('射擊表'!$A$2:$A$500=9)*('射擊表'!$B$2:$B$500=Y11),0)),NA())</f>
      </c>
    </row>
    <row r="12">
      <c r="A12">
        <f t="array" ref="A12">IFERROR(SMALL(IF('射擊表'!$A$2:$A$500=1,'射擊表'!$B$2:$B$500),11),NA())</f>
      </c>
      <c r="B12">
        <f t="array" ref="B12">IFERROR(INDEX('射擊表'!$C$2:$C$500,MATCH(1,('射擊表'!$A$2:$A$500=1)*('射擊表'!$B$2:$B$500=A12),0)),NA())</f>
      </c>
      <c r="C12">
        <f t="array" ref="C12">IFERROR(INDEX('射擊表'!$D$2:$D$500,MATCH(1,('射擊表'!$A$2:$A$500=1)*('射擊表'!$B$2:$B$500=A12),0)),NA())</f>
      </c>
      <c r="D12">
        <f t="array" ref="D12">IFERROR(SMALL(IF('射擊表'!$A$2:$A$500=2,'射擊表'!$B$2:$B$500),11),NA())</f>
      </c>
      <c r="E12">
        <f t="array" ref="E12">IFERROR(INDEX('射擊表'!$C$2:$C$500,MATCH(1,('射擊表'!$A$2:$A$500=2)*('射擊表'!$B$2:$B$500=D12),0)),NA())</f>
      </c>
      <c r="F12">
        <f t="array" ref="F12">IFERROR(INDEX('射擊表'!$D$2:$D$500,MATCH(1,('射擊表'!$A$2:$A$500=2)*('射擊表'!$B$2:$B$500=D12),0)),NA())</f>
      </c>
      <c r="G12">
        <f t="array" ref="G12">IFERROR(SMALL(IF('射擊表'!$A$2:$A$500=3,'射擊表'!$B$2:$B$500),11),NA())</f>
      </c>
      <c r="H12">
        <f t="array" ref="H12">IFERROR(INDEX('射擊表'!$C$2:$C$500,MATCH(1,('射擊表'!$A$2:$A$500=3)*('射擊表'!$B$2:$B$500=G12),0)),NA())</f>
      </c>
      <c r="I12">
        <f t="array" ref="I12">IFERROR(INDEX('射擊表'!$D$2:$D$500,MATCH(1,('射擊表'!$A$2:$A$500=3)*('射擊表'!$B$2:$B$500=G12),0)),NA())</f>
      </c>
      <c r="J12">
        <f t="array" ref="J12">IFERROR(SMALL(IF('射擊表'!$A$2:$A$500=4,'射擊表'!$B$2:$B$500),11),NA())</f>
      </c>
      <c r="K12">
        <f t="array" ref="K12">IFERROR(INDEX('射擊表'!$C$2:$C$500,MATCH(1,('射擊表'!$A$2:$A$500=4)*('射擊表'!$B$2:$B$500=J12),0)),NA())</f>
      </c>
      <c r="L12">
        <f t="array" ref="L12">IFERROR(INDEX('射擊表'!$D$2:$D$500,MATCH(1,('射擊表'!$A$2:$A$500=4)*('射擊表'!$B$2:$B$500=J12),0)),NA())</f>
      </c>
      <c r="M12">
        <f t="array" ref="M12">IFERROR(SMALL(IF('射擊表'!$A$2:$A$500=5,'射擊表'!$B$2:$B$500),11),NA())</f>
      </c>
      <c r="N12">
        <f t="array" ref="N12">IFERROR(INDEX('射擊表'!$C$2:$C$500,MATCH(1,('射擊表'!$A$2:$A$500=5)*('射擊表'!$B$2:$B$500=M12),0)),NA())</f>
      </c>
      <c r="O12">
        <f t="array" ref="O12">IFERROR(INDEX('射擊表'!$D$2:$D$500,MATCH(1,('射擊表'!$A$2:$A$500=5)*('射擊表'!$B$2:$B$500=M12),0)),NA())</f>
      </c>
      <c r="P12">
        <f t="array" ref="P12">IFERROR(SMALL(IF('射擊表'!$A$2:$A$500=6,'射擊表'!$B$2:$B$500),11),NA())</f>
      </c>
      <c r="Q12">
        <f t="array" ref="Q12">IFERROR(INDEX('射擊表'!$C$2:$C$500,MATCH(1,('射擊表'!$A$2:$A$500=6)*('射擊表'!$B$2:$B$500=P12),0)),NA())</f>
      </c>
      <c r="R12">
        <f t="array" ref="R12">IFERROR(INDEX('射擊表'!$D$2:$D$500,MATCH(1,('射擊表'!$A$2:$A$500=6)*('射擊表'!$B$2:$B$500=P12),0)),NA())</f>
      </c>
      <c r="S12">
        <f t="array" ref="S12">IFERROR(SMALL(IF('射擊表'!$A$2:$A$500=7,'射擊表'!$B$2:$B$500),11),NA())</f>
      </c>
      <c r="T12">
        <f t="array" ref="T12">IFERROR(INDEX('射擊表'!$C$2:$C$500,MATCH(1,('射擊表'!$A$2:$A$500=7)*('射擊表'!$B$2:$B$500=S12),0)),NA())</f>
      </c>
      <c r="U12">
        <f t="array" ref="U12">IFERROR(INDEX('射擊表'!$D$2:$D$500,MATCH(1,('射擊表'!$A$2:$A$500=7)*('射擊表'!$B$2:$B$500=S12),0)),NA())</f>
      </c>
      <c r="V12">
        <f t="array" ref="V12">IFERROR(SMALL(IF('射擊表'!$A$2:$A$500=8,'射擊表'!$B$2:$B$500),11),NA())</f>
      </c>
      <c r="W12">
        <f t="array" ref="W12">IFERROR(INDEX('射擊表'!$C$2:$C$500,MATCH(1,('射擊表'!$A$2:$A$500=8)*('射擊表'!$B$2:$B$500=V12),0)),NA())</f>
      </c>
      <c r="X12">
        <f t="array" ref="X12">IFERROR(INDEX('射擊表'!$D$2:$D$500,MATCH(1,('射擊表'!$A$2:$A$500=8)*('射擊表'!$B$2:$B$500=V12),0)),NA())</f>
      </c>
      <c r="Y12">
        <f t="array" ref="Y12">IFERROR(SMALL(IF('射擊表'!$A$2:$A$500=9,'射擊表'!$B$2:$B$500),11),NA())</f>
      </c>
      <c r="Z12">
        <f t="array" ref="Z12">IFERROR(INDEX('射擊表'!$C$2:$C$500,MATCH(1,('射擊表'!$A$2:$A$500=9)*('射擊表'!$B$2:$B$500=Y12),0)),NA())</f>
      </c>
      <c r="AA12">
        <f t="array" ref="AA12">IFERROR(INDEX('射擊表'!$D$2:$D$500,MATCH(1,('射擊表'!$A$2:$A$500=9)*('射擊表'!$B$2:$B$500=Y12),0)),NA())</f>
      </c>
    </row>
    <row r="13">
      <c r="A13">
        <f t="array" ref="A13">IFERROR(SMALL(IF('射擊表'!$A$2:$A$500=1,'射擊表'!$B$2:$B$500),12),NA())</f>
      </c>
      <c r="B13">
        <f t="array" ref="B13">IFERROR(INDEX('射擊表'!$C$2:$C$500,MATCH(1,('射擊表'!$A$2:$A$500=1)*('射擊表'!$B$2:$B$500=A13),0)),NA())</f>
      </c>
      <c r="C13">
        <f t="array" ref="C13">IFERROR(INDEX('射擊表'!$D$2:$D$500,MATCH(1,('射擊表'!$A$2:$A$500=1)*('射擊表'!$B$2:$B$500=A13),0)),NA())</f>
      </c>
      <c r="D13">
        <f t="array" ref="D13">IFERROR(SMALL(IF('射擊表'!$A$2:$A$500=2,'射擊表'!$B$2:$B$500),12),NA())</f>
      </c>
      <c r="E13">
        <f t="array" ref="E13">IFERROR(INDEX('射擊表'!$C$2:$C$500,MATCH(1,('射擊表'!$A$2:$A$500=2)*('射擊表'!$B$2:$B$500=D13),0)),NA())</f>
      </c>
      <c r="F13">
        <f t="array" ref="F13">IFERROR(INDEX('射擊表'!$D$2:$D$500,MATCH(1,('射擊表'!$A$2:$A$500=2)*('射擊表'!$B$2:$B$500=D13),0)),NA())</f>
      </c>
      <c r="G13">
        <f t="array" ref="G13">IFERROR(SMALL(IF('射擊表'!$A$2:$A$500=3,'射擊表'!$B$2:$B$500),12),NA())</f>
      </c>
      <c r="H13">
        <f t="array" ref="H13">IFERROR(INDEX('射擊表'!$C$2:$C$500,MATCH(1,('射擊表'!$A$2:$A$500=3)*('射擊表'!$B$2:$B$500=G13),0)),NA())</f>
      </c>
      <c r="I13">
        <f t="array" ref="I13">IFERROR(INDEX('射擊表'!$D$2:$D$500,MATCH(1,('射擊表'!$A$2:$A$500=3)*('射擊表'!$B$2:$B$500=G13),0)),NA())</f>
      </c>
      <c r="J13">
        <f t="array" ref="J13">IFERROR(SMALL(IF('射擊表'!$A$2:$A$500=4,'射擊表'!$B$2:$B$500),12),NA())</f>
      </c>
      <c r="K13">
        <f t="array" ref="K13">IFERROR(INDEX('射擊表'!$C$2:$C$500,MATCH(1,('射擊表'!$A$2:$A$500=4)*('射擊表'!$B$2:$B$500=J13),0)),NA())</f>
      </c>
      <c r="L13">
        <f t="array" ref="L13">IFERROR(INDEX('射擊表'!$D$2:$D$500,MATCH(1,('射擊表'!$A$2:$A$500=4)*('射擊表'!$B$2:$B$500=J13),0)),NA())</f>
      </c>
      <c r="M13">
        <f t="array" ref="M13">IFERROR(SMALL(IF('射擊表'!$A$2:$A$500=5,'射擊表'!$B$2:$B$500),12),NA())</f>
      </c>
      <c r="N13">
        <f t="array" ref="N13">IFERROR(INDEX('射擊表'!$C$2:$C$500,MATCH(1,('射擊表'!$A$2:$A$500=5)*('射擊表'!$B$2:$B$500=M13),0)),NA())</f>
      </c>
      <c r="O13">
        <f t="array" ref="O13">IFERROR(INDEX('射擊表'!$D$2:$D$500,MATCH(1,('射擊表'!$A$2:$A$500=5)*('射擊表'!$B$2:$B$500=M13),0)),NA())</f>
      </c>
      <c r="P13">
        <f t="array" ref="P13">IFERROR(SMALL(IF('射擊表'!$A$2:$A$500=6,'射擊表'!$B$2:$B$500),12),NA())</f>
      </c>
      <c r="Q13">
        <f t="array" ref="Q13">IFERROR(INDEX('射擊表'!$C$2:$C$500,MATCH(1,('射擊表'!$A$2:$A$500=6)*('射擊表'!$B$2:$B$500=P13),0)),NA())</f>
      </c>
      <c r="R13">
        <f t="array" ref="R13">IFERROR(INDEX('射擊表'!$D$2:$D$500,MATCH(1,('射擊表'!$A$2:$A$500=6)*('射擊表'!$B$2:$B$500=P13),0)),NA())</f>
      </c>
      <c r="S13">
        <f t="array" ref="S13">IFERROR(SMALL(IF('射擊表'!$A$2:$A$500=7,'射擊表'!$B$2:$B$500),12),NA())</f>
      </c>
      <c r="T13">
        <f t="array" ref="T13">IFERROR(INDEX('射擊表'!$C$2:$C$500,MATCH(1,('射擊表'!$A$2:$A$500=7)*('射擊表'!$B$2:$B$500=S13),0)),NA())</f>
      </c>
      <c r="U13">
        <f t="array" ref="U13">IFERROR(INDEX('射擊表'!$D$2:$D$500,MATCH(1,('射擊表'!$A$2:$A$500=7)*('射擊表'!$B$2:$B$500=S13),0)),NA())</f>
      </c>
      <c r="V13">
        <f t="array" ref="V13">IFERROR(SMALL(IF('射擊表'!$A$2:$A$500=8,'射擊表'!$B$2:$B$500),12),NA())</f>
      </c>
      <c r="W13">
        <f t="array" ref="W13">IFERROR(INDEX('射擊表'!$C$2:$C$500,MATCH(1,('射擊表'!$A$2:$A$500=8)*('射擊表'!$B$2:$B$500=V13),0)),NA())</f>
      </c>
      <c r="X13">
        <f t="array" ref="X13">IFERROR(INDEX('射擊表'!$D$2:$D$500,MATCH(1,('射擊表'!$A$2:$A$500=8)*('射擊表'!$B$2:$B$500=V13),0)),NA())</f>
      </c>
      <c r="Y13">
        <f t="array" ref="Y13">IFERROR(SMALL(IF('射擊表'!$A$2:$A$500=9,'射擊表'!$B$2:$B$500),12),NA())</f>
      </c>
      <c r="Z13">
        <f t="array" ref="Z13">IFERROR(INDEX('射擊表'!$C$2:$C$500,MATCH(1,('射擊表'!$A$2:$A$500=9)*('射擊表'!$B$2:$B$500=Y13),0)),NA())</f>
      </c>
      <c r="AA13">
        <f t="array" ref="AA13">IFERROR(INDEX('射擊表'!$D$2:$D$500,MATCH(1,('射擊表'!$A$2:$A$500=9)*('射擊表'!$B$2:$B$500=Y13),0)),NA())</f>
      </c>
    </row>
    <row r="14">
      <c r="A14">
        <f t="array" ref="A14">IFERROR(SMALL(IF('射擊表'!$A$2:$A$500=1,'射擊表'!$B$2:$B$500),13),NA())</f>
      </c>
      <c r="B14">
        <f t="array" ref="B14">IFERROR(INDEX('射擊表'!$C$2:$C$500,MATCH(1,('射擊表'!$A$2:$A$500=1)*('射擊表'!$B$2:$B$500=A14),0)),NA())</f>
      </c>
      <c r="C14">
        <f t="array" ref="C14">IFERROR(INDEX('射擊表'!$D$2:$D$500,MATCH(1,('射擊表'!$A$2:$A$500=1)*('射擊表'!$B$2:$B$500=A14),0)),NA())</f>
      </c>
      <c r="D14">
        <f t="array" ref="D14">IFERROR(SMALL(IF('射擊表'!$A$2:$A$500=2,'射擊表'!$B$2:$B$500),13),NA())</f>
      </c>
      <c r="E14">
        <f t="array" ref="E14">IFERROR(INDEX('射擊表'!$C$2:$C$500,MATCH(1,('射擊表'!$A$2:$A$500=2)*('射擊表'!$B$2:$B$500=D14),0)),NA())</f>
      </c>
      <c r="F14">
        <f t="array" ref="F14">IFERROR(INDEX('射擊表'!$D$2:$D$500,MATCH(1,('射擊表'!$A$2:$A$500=2)*('射擊表'!$B$2:$B$500=D14),0)),NA())</f>
      </c>
      <c r="G14">
        <f t="array" ref="G14">IFERROR(SMALL(IF('射擊表'!$A$2:$A$500=3,'射擊表'!$B$2:$B$500),13),NA())</f>
      </c>
      <c r="H14">
        <f t="array" ref="H14">IFERROR(INDEX('射擊表'!$C$2:$C$500,MATCH(1,('射擊表'!$A$2:$A$500=3)*('射擊表'!$B$2:$B$500=G14),0)),NA())</f>
      </c>
      <c r="I14">
        <f t="array" ref="I14">IFERROR(INDEX('射擊表'!$D$2:$D$500,MATCH(1,('射擊表'!$A$2:$A$500=3)*('射擊表'!$B$2:$B$500=G14),0)),NA())</f>
      </c>
      <c r="J14">
        <f t="array" ref="J14">IFERROR(SMALL(IF('射擊表'!$A$2:$A$500=4,'射擊表'!$B$2:$B$500),13),NA())</f>
      </c>
      <c r="K14">
        <f t="array" ref="K14">IFERROR(INDEX('射擊表'!$C$2:$C$500,MATCH(1,('射擊表'!$A$2:$A$500=4)*('射擊表'!$B$2:$B$500=J14),0)),NA())</f>
      </c>
      <c r="L14">
        <f t="array" ref="L14">IFERROR(INDEX('射擊表'!$D$2:$D$500,MATCH(1,('射擊表'!$A$2:$A$500=4)*('射擊表'!$B$2:$B$500=J14),0)),NA())</f>
      </c>
      <c r="M14">
        <f t="array" ref="M14">IFERROR(SMALL(IF('射擊表'!$A$2:$A$500=5,'射擊表'!$B$2:$B$500),13),NA())</f>
      </c>
      <c r="N14">
        <f t="array" ref="N14">IFERROR(INDEX('射擊表'!$C$2:$C$500,MATCH(1,('射擊表'!$A$2:$A$500=5)*('射擊表'!$B$2:$B$500=M14),0)),NA())</f>
      </c>
      <c r="O14">
        <f t="array" ref="O14">IFERROR(INDEX('射擊表'!$D$2:$D$500,MATCH(1,('射擊表'!$A$2:$A$500=5)*('射擊表'!$B$2:$B$500=M14),0)),NA())</f>
      </c>
      <c r="P14">
        <f t="array" ref="P14">IFERROR(SMALL(IF('射擊表'!$A$2:$A$500=6,'射擊表'!$B$2:$B$500),13),NA())</f>
      </c>
      <c r="Q14">
        <f t="array" ref="Q14">IFERROR(INDEX('射擊表'!$C$2:$C$500,MATCH(1,('射擊表'!$A$2:$A$500=6)*('射擊表'!$B$2:$B$500=P14),0)),NA())</f>
      </c>
      <c r="R14">
        <f t="array" ref="R14">IFERROR(INDEX('射擊表'!$D$2:$D$500,MATCH(1,('射擊表'!$A$2:$A$500=6)*('射擊表'!$B$2:$B$500=P14),0)),NA())</f>
      </c>
      <c r="S14">
        <f t="array" ref="S14">IFERROR(SMALL(IF('射擊表'!$A$2:$A$500=7,'射擊表'!$B$2:$B$500),13),NA())</f>
      </c>
      <c r="T14">
        <f t="array" ref="T14">IFERROR(INDEX('射擊表'!$C$2:$C$500,MATCH(1,('射擊表'!$A$2:$A$500=7)*('射擊表'!$B$2:$B$500=S14),0)),NA())</f>
      </c>
      <c r="U14">
        <f t="array" ref="U14">IFERROR(INDEX('射擊表'!$D$2:$D$500,MATCH(1,('射擊表'!$A$2:$A$500=7)*('射擊表'!$B$2:$B$500=S14),0)),NA())</f>
      </c>
      <c r="V14">
        <f t="array" ref="V14">IFERROR(SMALL(IF('射擊表'!$A$2:$A$500=8,'射擊表'!$B$2:$B$500),13),NA())</f>
      </c>
      <c r="W14">
        <f t="array" ref="W14">IFERROR(INDEX('射擊表'!$C$2:$C$500,MATCH(1,('射擊表'!$A$2:$A$500=8)*('射擊表'!$B$2:$B$500=V14),0)),NA())</f>
      </c>
      <c r="X14">
        <f t="array" ref="X14">IFERROR(INDEX('射擊表'!$D$2:$D$500,MATCH(1,('射擊表'!$A$2:$A$500=8)*('射擊表'!$B$2:$B$500=V14),0)),NA())</f>
      </c>
      <c r="Y14">
        <f t="array" ref="Y14">IFERROR(SMALL(IF('射擊表'!$A$2:$A$500=9,'射擊表'!$B$2:$B$500),13),NA())</f>
      </c>
      <c r="Z14">
        <f t="array" ref="Z14">IFERROR(INDEX('射擊表'!$C$2:$C$500,MATCH(1,('射擊表'!$A$2:$A$500=9)*('射擊表'!$B$2:$B$500=Y14),0)),NA())</f>
      </c>
      <c r="AA14">
        <f t="array" ref="AA14">IFERROR(INDEX('射擊表'!$D$2:$D$500,MATCH(1,('射擊表'!$A$2:$A$500=9)*('射擊表'!$B$2:$B$500=Y14),0)),NA())</f>
      </c>
    </row>
    <row r="15">
      <c r="A15">
        <f t="array" ref="A15">IFERROR(SMALL(IF('射擊表'!$A$2:$A$500=1,'射擊表'!$B$2:$B$500),14),NA())</f>
      </c>
      <c r="B15">
        <f t="array" ref="B15">IFERROR(INDEX('射擊表'!$C$2:$C$500,MATCH(1,('射擊表'!$A$2:$A$500=1)*('射擊表'!$B$2:$B$500=A15),0)),NA())</f>
      </c>
      <c r="C15">
        <f t="array" ref="C15">IFERROR(INDEX('射擊表'!$D$2:$D$500,MATCH(1,('射擊表'!$A$2:$A$500=1)*('射擊表'!$B$2:$B$500=A15),0)),NA())</f>
      </c>
      <c r="D15">
        <f t="array" ref="D15">IFERROR(SMALL(IF('射擊表'!$A$2:$A$500=2,'射擊表'!$B$2:$B$500),14),NA())</f>
      </c>
      <c r="E15">
        <f t="array" ref="E15">IFERROR(INDEX('射擊表'!$C$2:$C$500,MATCH(1,('射擊表'!$A$2:$A$500=2)*('射擊表'!$B$2:$B$500=D15),0)),NA())</f>
      </c>
      <c r="F15">
        <f t="array" ref="F15">IFERROR(INDEX('射擊表'!$D$2:$D$500,MATCH(1,('射擊表'!$A$2:$A$500=2)*('射擊表'!$B$2:$B$500=D15),0)),NA())</f>
      </c>
      <c r="G15">
        <f t="array" ref="G15">IFERROR(SMALL(IF('射擊表'!$A$2:$A$500=3,'射擊表'!$B$2:$B$500),14),NA())</f>
      </c>
      <c r="H15">
        <f t="array" ref="H15">IFERROR(INDEX('射擊表'!$C$2:$C$500,MATCH(1,('射擊表'!$A$2:$A$500=3)*('射擊表'!$B$2:$B$500=G15),0)),NA())</f>
      </c>
      <c r="I15">
        <f t="array" ref="I15">IFERROR(INDEX('射擊表'!$D$2:$D$500,MATCH(1,('射擊表'!$A$2:$A$500=3)*('射擊表'!$B$2:$B$500=G15),0)),NA())</f>
      </c>
      <c r="J15">
        <f t="array" ref="J15">IFERROR(SMALL(IF('射擊表'!$A$2:$A$500=4,'射擊表'!$B$2:$B$500),14),NA())</f>
      </c>
      <c r="K15">
        <f t="array" ref="K15">IFERROR(INDEX('射擊表'!$C$2:$C$500,MATCH(1,('射擊表'!$A$2:$A$500=4)*('射擊表'!$B$2:$B$500=J15),0)),NA())</f>
      </c>
      <c r="L15">
        <f t="array" ref="L15">IFERROR(INDEX('射擊表'!$D$2:$D$500,MATCH(1,('射擊表'!$A$2:$A$500=4)*('射擊表'!$B$2:$B$500=J15),0)),NA())</f>
      </c>
      <c r="M15">
        <f t="array" ref="M15">IFERROR(SMALL(IF('射擊表'!$A$2:$A$500=5,'射擊表'!$B$2:$B$500),14),NA())</f>
      </c>
      <c r="N15">
        <f t="array" ref="N15">IFERROR(INDEX('射擊表'!$C$2:$C$500,MATCH(1,('射擊表'!$A$2:$A$500=5)*('射擊表'!$B$2:$B$500=M15),0)),NA())</f>
      </c>
      <c r="O15">
        <f t="array" ref="O15">IFERROR(INDEX('射擊表'!$D$2:$D$500,MATCH(1,('射擊表'!$A$2:$A$500=5)*('射擊表'!$B$2:$B$500=M15),0)),NA())</f>
      </c>
      <c r="P15">
        <f t="array" ref="P15">IFERROR(SMALL(IF('射擊表'!$A$2:$A$500=6,'射擊表'!$B$2:$B$500),14),NA())</f>
      </c>
      <c r="Q15">
        <f t="array" ref="Q15">IFERROR(INDEX('射擊表'!$C$2:$C$500,MATCH(1,('射擊表'!$A$2:$A$500=6)*('射擊表'!$B$2:$B$500=P15),0)),NA())</f>
      </c>
      <c r="R15">
        <f t="array" ref="R15">IFERROR(INDEX('射擊表'!$D$2:$D$500,MATCH(1,('射擊表'!$A$2:$A$500=6)*('射擊表'!$B$2:$B$500=P15),0)),NA())</f>
      </c>
      <c r="S15">
        <f t="array" ref="S15">IFERROR(SMALL(IF('射擊表'!$A$2:$A$500=7,'射擊表'!$B$2:$B$500),14),NA())</f>
      </c>
      <c r="T15">
        <f t="array" ref="T15">IFERROR(INDEX('射擊表'!$C$2:$C$500,MATCH(1,('射擊表'!$A$2:$A$500=7)*('射擊表'!$B$2:$B$500=S15),0)),NA())</f>
      </c>
      <c r="U15">
        <f t="array" ref="U15">IFERROR(INDEX('射擊表'!$D$2:$D$500,MATCH(1,('射擊表'!$A$2:$A$500=7)*('射擊表'!$B$2:$B$500=S15),0)),NA())</f>
      </c>
      <c r="V15">
        <f t="array" ref="V15">IFERROR(SMALL(IF('射擊表'!$A$2:$A$500=8,'射擊表'!$B$2:$B$500),14),NA())</f>
      </c>
      <c r="W15">
        <f t="array" ref="W15">IFERROR(INDEX('射擊表'!$C$2:$C$500,MATCH(1,('射擊表'!$A$2:$A$500=8)*('射擊表'!$B$2:$B$500=V15),0)),NA())</f>
      </c>
      <c r="X15">
        <f t="array" ref="X15">IFERROR(INDEX('射擊表'!$D$2:$D$500,MATCH(1,('射擊表'!$A$2:$A$500=8)*('射擊表'!$B$2:$B$500=V15),0)),NA())</f>
      </c>
      <c r="Y15">
        <f t="array" ref="Y15">IFERROR(SMALL(IF('射擊表'!$A$2:$A$500=9,'射擊表'!$B$2:$B$500),14),NA())</f>
      </c>
      <c r="Z15">
        <f t="array" ref="Z15">IFERROR(INDEX('射擊表'!$C$2:$C$500,MATCH(1,('射擊表'!$A$2:$A$500=9)*('射擊表'!$B$2:$B$500=Y15),0)),NA())</f>
      </c>
      <c r="AA15">
        <f t="array" ref="AA15">IFERROR(INDEX('射擊表'!$D$2:$D$500,MATCH(1,('射擊表'!$A$2:$A$500=9)*('射擊表'!$B$2:$B$500=Y15),0)),NA())</f>
      </c>
    </row>
    <row r="16">
      <c r="A16">
        <f t="array" ref="A16">IFERROR(SMALL(IF('射擊表'!$A$2:$A$500=1,'射擊表'!$B$2:$B$500),15),NA())</f>
      </c>
      <c r="B16">
        <f t="array" ref="B16">IFERROR(INDEX('射擊表'!$C$2:$C$500,MATCH(1,('射擊表'!$A$2:$A$500=1)*('射擊表'!$B$2:$B$500=A16),0)),NA())</f>
      </c>
      <c r="C16">
        <f t="array" ref="C16">IFERROR(INDEX('射擊表'!$D$2:$D$500,MATCH(1,('射擊表'!$A$2:$A$500=1)*('射擊表'!$B$2:$B$500=A16),0)),NA())</f>
      </c>
      <c r="D16">
        <f t="array" ref="D16">IFERROR(SMALL(IF('射擊表'!$A$2:$A$500=2,'射擊表'!$B$2:$B$500),15),NA())</f>
      </c>
      <c r="E16">
        <f t="array" ref="E16">IFERROR(INDEX('射擊表'!$C$2:$C$500,MATCH(1,('射擊表'!$A$2:$A$500=2)*('射擊表'!$B$2:$B$500=D16),0)),NA())</f>
      </c>
      <c r="F16">
        <f t="array" ref="F16">IFERROR(INDEX('射擊表'!$D$2:$D$500,MATCH(1,('射擊表'!$A$2:$A$500=2)*('射擊表'!$B$2:$B$500=D16),0)),NA())</f>
      </c>
      <c r="G16">
        <f t="array" ref="G16">IFERROR(SMALL(IF('射擊表'!$A$2:$A$500=3,'射擊表'!$B$2:$B$500),15),NA())</f>
      </c>
      <c r="H16">
        <f t="array" ref="H16">IFERROR(INDEX('射擊表'!$C$2:$C$500,MATCH(1,('射擊表'!$A$2:$A$500=3)*('射擊表'!$B$2:$B$500=G16),0)),NA())</f>
      </c>
      <c r="I16">
        <f t="array" ref="I16">IFERROR(INDEX('射擊表'!$D$2:$D$500,MATCH(1,('射擊表'!$A$2:$A$500=3)*('射擊表'!$B$2:$B$500=G16),0)),NA())</f>
      </c>
      <c r="J16">
        <f t="array" ref="J16">IFERROR(SMALL(IF('射擊表'!$A$2:$A$500=4,'射擊表'!$B$2:$B$500),15),NA())</f>
      </c>
      <c r="K16">
        <f t="array" ref="K16">IFERROR(INDEX('射擊表'!$C$2:$C$500,MATCH(1,('射擊表'!$A$2:$A$500=4)*('射擊表'!$B$2:$B$500=J16),0)),NA())</f>
      </c>
      <c r="L16">
        <f t="array" ref="L16">IFERROR(INDEX('射擊表'!$D$2:$D$500,MATCH(1,('射擊表'!$A$2:$A$500=4)*('射擊表'!$B$2:$B$500=J16),0)),NA())</f>
      </c>
      <c r="M16">
        <f t="array" ref="M16">IFERROR(SMALL(IF('射擊表'!$A$2:$A$500=5,'射擊表'!$B$2:$B$500),15),NA())</f>
      </c>
      <c r="N16">
        <f t="array" ref="N16">IFERROR(INDEX('射擊表'!$C$2:$C$500,MATCH(1,('射擊表'!$A$2:$A$500=5)*('射擊表'!$B$2:$B$500=M16),0)),NA())</f>
      </c>
      <c r="O16">
        <f t="array" ref="O16">IFERROR(INDEX('射擊表'!$D$2:$D$500,MATCH(1,('射擊表'!$A$2:$A$500=5)*('射擊表'!$B$2:$B$500=M16),0)),NA())</f>
      </c>
      <c r="P16">
        <f t="array" ref="P16">IFERROR(SMALL(IF('射擊表'!$A$2:$A$500=6,'射擊表'!$B$2:$B$500),15),NA())</f>
      </c>
      <c r="Q16">
        <f t="array" ref="Q16">IFERROR(INDEX('射擊表'!$C$2:$C$500,MATCH(1,('射擊表'!$A$2:$A$500=6)*('射擊表'!$B$2:$B$500=P16),0)),NA())</f>
      </c>
      <c r="R16">
        <f t="array" ref="R16">IFERROR(INDEX('射擊表'!$D$2:$D$500,MATCH(1,('射擊表'!$A$2:$A$500=6)*('射擊表'!$B$2:$B$500=P16),0)),NA())</f>
      </c>
      <c r="S16">
        <f t="array" ref="S16">IFERROR(SMALL(IF('射擊表'!$A$2:$A$500=7,'射擊表'!$B$2:$B$500),15),NA())</f>
      </c>
      <c r="T16">
        <f t="array" ref="T16">IFERROR(INDEX('射擊表'!$C$2:$C$500,MATCH(1,('射擊表'!$A$2:$A$500=7)*('射擊表'!$B$2:$B$500=S16),0)),NA())</f>
      </c>
      <c r="U16">
        <f t="array" ref="U16">IFERROR(INDEX('射擊表'!$D$2:$D$500,MATCH(1,('射擊表'!$A$2:$A$500=7)*('射擊表'!$B$2:$B$500=S16),0)),NA())</f>
      </c>
      <c r="V16">
        <f t="array" ref="V16">IFERROR(SMALL(IF('射擊表'!$A$2:$A$500=8,'射擊表'!$B$2:$B$500),15),NA())</f>
      </c>
      <c r="W16">
        <f t="array" ref="W16">IFERROR(INDEX('射擊表'!$C$2:$C$500,MATCH(1,('射擊表'!$A$2:$A$500=8)*('射擊表'!$B$2:$B$500=V16),0)),NA())</f>
      </c>
      <c r="X16">
        <f t="array" ref="X16">IFERROR(INDEX('射擊表'!$D$2:$D$500,MATCH(1,('射擊表'!$A$2:$A$500=8)*('射擊表'!$B$2:$B$500=V16),0)),NA())</f>
      </c>
      <c r="Y16">
        <f t="array" ref="Y16">IFERROR(SMALL(IF('射擊表'!$A$2:$A$500=9,'射擊表'!$B$2:$B$500),15),NA())</f>
      </c>
      <c r="Z16">
        <f t="array" ref="Z16">IFERROR(INDEX('射擊表'!$C$2:$C$500,MATCH(1,('射擊表'!$A$2:$A$500=9)*('射擊表'!$B$2:$B$500=Y16),0)),NA())</f>
      </c>
      <c r="AA16">
        <f t="array" ref="AA16">IFERROR(INDEX('射擊表'!$D$2:$D$500,MATCH(1,('射擊表'!$A$2:$A$500=9)*('射擊表'!$B$2:$B$500=Y16),0)),NA())</f>
      </c>
    </row>
    <row r="17">
      <c r="A17">
        <f t="array" ref="A17">IFERROR(SMALL(IF('射擊表'!$A$2:$A$500=1,'射擊表'!$B$2:$B$500),16),NA())</f>
      </c>
      <c r="B17">
        <f t="array" ref="B17">IFERROR(INDEX('射擊表'!$C$2:$C$500,MATCH(1,('射擊表'!$A$2:$A$500=1)*('射擊表'!$B$2:$B$500=A17),0)),NA())</f>
      </c>
      <c r="C17">
        <f t="array" ref="C17">IFERROR(INDEX('射擊表'!$D$2:$D$500,MATCH(1,('射擊表'!$A$2:$A$500=1)*('射擊表'!$B$2:$B$500=A17),0)),NA())</f>
      </c>
      <c r="D17">
        <f t="array" ref="D17">IFERROR(SMALL(IF('射擊表'!$A$2:$A$500=2,'射擊表'!$B$2:$B$500),16),NA())</f>
      </c>
      <c r="E17">
        <f t="array" ref="E17">IFERROR(INDEX('射擊表'!$C$2:$C$500,MATCH(1,('射擊表'!$A$2:$A$500=2)*('射擊表'!$B$2:$B$500=D17),0)),NA())</f>
      </c>
      <c r="F17">
        <f t="array" ref="F17">IFERROR(INDEX('射擊表'!$D$2:$D$500,MATCH(1,('射擊表'!$A$2:$A$500=2)*('射擊表'!$B$2:$B$500=D17),0)),NA())</f>
      </c>
      <c r="G17">
        <f t="array" ref="G17">IFERROR(SMALL(IF('射擊表'!$A$2:$A$500=3,'射擊表'!$B$2:$B$500),16),NA())</f>
      </c>
      <c r="H17">
        <f t="array" ref="H17">IFERROR(INDEX('射擊表'!$C$2:$C$500,MATCH(1,('射擊表'!$A$2:$A$500=3)*('射擊表'!$B$2:$B$500=G17),0)),NA())</f>
      </c>
      <c r="I17">
        <f t="array" ref="I17">IFERROR(INDEX('射擊表'!$D$2:$D$500,MATCH(1,('射擊表'!$A$2:$A$500=3)*('射擊表'!$B$2:$B$500=G17),0)),NA())</f>
      </c>
      <c r="J17">
        <f t="array" ref="J17">IFERROR(SMALL(IF('射擊表'!$A$2:$A$500=4,'射擊表'!$B$2:$B$500),16),NA())</f>
      </c>
      <c r="K17">
        <f t="array" ref="K17">IFERROR(INDEX('射擊表'!$C$2:$C$500,MATCH(1,('射擊表'!$A$2:$A$500=4)*('射擊表'!$B$2:$B$500=J17),0)),NA())</f>
      </c>
      <c r="L17">
        <f t="array" ref="L17">IFERROR(INDEX('射擊表'!$D$2:$D$500,MATCH(1,('射擊表'!$A$2:$A$500=4)*('射擊表'!$B$2:$B$500=J17),0)),NA())</f>
      </c>
      <c r="M17">
        <f t="array" ref="M17">IFERROR(SMALL(IF('射擊表'!$A$2:$A$500=5,'射擊表'!$B$2:$B$500),16),NA())</f>
      </c>
      <c r="N17">
        <f t="array" ref="N17">IFERROR(INDEX('射擊表'!$C$2:$C$500,MATCH(1,('射擊表'!$A$2:$A$500=5)*('射擊表'!$B$2:$B$500=M17),0)),NA())</f>
      </c>
      <c r="O17">
        <f t="array" ref="O17">IFERROR(INDEX('射擊表'!$D$2:$D$500,MATCH(1,('射擊表'!$A$2:$A$500=5)*('射擊表'!$B$2:$B$500=M17),0)),NA())</f>
      </c>
      <c r="P17">
        <f t="array" ref="P17">IFERROR(SMALL(IF('射擊表'!$A$2:$A$500=6,'射擊表'!$B$2:$B$500),16),NA())</f>
      </c>
      <c r="Q17">
        <f t="array" ref="Q17">IFERROR(INDEX('射擊表'!$C$2:$C$500,MATCH(1,('射擊表'!$A$2:$A$500=6)*('射擊表'!$B$2:$B$500=P17),0)),NA())</f>
      </c>
      <c r="R17">
        <f t="array" ref="R17">IFERROR(INDEX('射擊表'!$D$2:$D$500,MATCH(1,('射擊表'!$A$2:$A$500=6)*('射擊表'!$B$2:$B$500=P17),0)),NA())</f>
      </c>
      <c r="S17">
        <f t="array" ref="S17">IFERROR(SMALL(IF('射擊表'!$A$2:$A$500=7,'射擊表'!$B$2:$B$500),16),NA())</f>
      </c>
      <c r="T17">
        <f t="array" ref="T17">IFERROR(INDEX('射擊表'!$C$2:$C$500,MATCH(1,('射擊表'!$A$2:$A$500=7)*('射擊表'!$B$2:$B$500=S17),0)),NA())</f>
      </c>
      <c r="U17">
        <f t="array" ref="U17">IFERROR(INDEX('射擊表'!$D$2:$D$500,MATCH(1,('射擊表'!$A$2:$A$500=7)*('射擊表'!$B$2:$B$500=S17),0)),NA())</f>
      </c>
      <c r="V17">
        <f t="array" ref="V17">IFERROR(SMALL(IF('射擊表'!$A$2:$A$500=8,'射擊表'!$B$2:$B$500),16),NA())</f>
      </c>
      <c r="W17">
        <f t="array" ref="W17">IFERROR(INDEX('射擊表'!$C$2:$C$500,MATCH(1,('射擊表'!$A$2:$A$500=8)*('射擊表'!$B$2:$B$500=V17),0)),NA())</f>
      </c>
      <c r="X17">
        <f t="array" ref="X17">IFERROR(INDEX('射擊表'!$D$2:$D$500,MATCH(1,('射擊表'!$A$2:$A$500=8)*('射擊表'!$B$2:$B$500=V17),0)),NA())</f>
      </c>
      <c r="Y17">
        <f t="array" ref="Y17">IFERROR(SMALL(IF('射擊表'!$A$2:$A$500=9,'射擊表'!$B$2:$B$500),16),NA())</f>
      </c>
      <c r="Z17">
        <f t="array" ref="Z17">IFERROR(INDEX('射擊表'!$C$2:$C$500,MATCH(1,('射擊表'!$A$2:$A$500=9)*('射擊表'!$B$2:$B$500=Y17),0)),NA())</f>
      </c>
      <c r="AA17">
        <f t="array" ref="AA17">IFERROR(INDEX('射擊表'!$D$2:$D$500,MATCH(1,('射擊表'!$A$2:$A$500=9)*('射擊表'!$B$2:$B$500=Y17),0)),NA())</f>
      </c>
    </row>
    <row r="18">
      <c r="A18">
        <f t="array" ref="A18">IFERROR(SMALL(IF('射擊表'!$A$2:$A$500=1,'射擊表'!$B$2:$B$500),17),NA())</f>
      </c>
      <c r="B18">
        <f t="array" ref="B18">IFERROR(INDEX('射擊表'!$C$2:$C$500,MATCH(1,('射擊表'!$A$2:$A$500=1)*('射擊表'!$B$2:$B$500=A18),0)),NA())</f>
      </c>
      <c r="C18">
        <f t="array" ref="C18">IFERROR(INDEX('射擊表'!$D$2:$D$500,MATCH(1,('射擊表'!$A$2:$A$500=1)*('射擊表'!$B$2:$B$500=A18),0)),NA())</f>
      </c>
      <c r="D18">
        <f t="array" ref="D18">IFERROR(SMALL(IF('射擊表'!$A$2:$A$500=2,'射擊表'!$B$2:$B$500),17),NA())</f>
      </c>
      <c r="E18">
        <f t="array" ref="E18">IFERROR(INDEX('射擊表'!$C$2:$C$500,MATCH(1,('射擊表'!$A$2:$A$500=2)*('射擊表'!$B$2:$B$500=D18),0)),NA())</f>
      </c>
      <c r="F18">
        <f t="array" ref="F18">IFERROR(INDEX('射擊表'!$D$2:$D$500,MATCH(1,('射擊表'!$A$2:$A$500=2)*('射擊表'!$B$2:$B$500=D18),0)),NA())</f>
      </c>
      <c r="G18">
        <f t="array" ref="G18">IFERROR(SMALL(IF('射擊表'!$A$2:$A$500=3,'射擊表'!$B$2:$B$500),17),NA())</f>
      </c>
      <c r="H18">
        <f t="array" ref="H18">IFERROR(INDEX('射擊表'!$C$2:$C$500,MATCH(1,('射擊表'!$A$2:$A$500=3)*('射擊表'!$B$2:$B$500=G18),0)),NA())</f>
      </c>
      <c r="I18">
        <f t="array" ref="I18">IFERROR(INDEX('射擊表'!$D$2:$D$500,MATCH(1,('射擊表'!$A$2:$A$500=3)*('射擊表'!$B$2:$B$500=G18),0)),NA())</f>
      </c>
      <c r="J18">
        <f t="array" ref="J18">IFERROR(SMALL(IF('射擊表'!$A$2:$A$500=4,'射擊表'!$B$2:$B$500),17),NA())</f>
      </c>
      <c r="K18">
        <f t="array" ref="K18">IFERROR(INDEX('射擊表'!$C$2:$C$500,MATCH(1,('射擊表'!$A$2:$A$500=4)*('射擊表'!$B$2:$B$500=J18),0)),NA())</f>
      </c>
      <c r="L18">
        <f t="array" ref="L18">IFERROR(INDEX('射擊表'!$D$2:$D$500,MATCH(1,('射擊表'!$A$2:$A$500=4)*('射擊表'!$B$2:$B$500=J18),0)),NA())</f>
      </c>
      <c r="M18">
        <f t="array" ref="M18">IFERROR(SMALL(IF('射擊表'!$A$2:$A$500=5,'射擊表'!$B$2:$B$500),17),NA())</f>
      </c>
      <c r="N18">
        <f t="array" ref="N18">IFERROR(INDEX('射擊表'!$C$2:$C$500,MATCH(1,('射擊表'!$A$2:$A$500=5)*('射擊表'!$B$2:$B$500=M18),0)),NA())</f>
      </c>
      <c r="O18">
        <f t="array" ref="O18">IFERROR(INDEX('射擊表'!$D$2:$D$500,MATCH(1,('射擊表'!$A$2:$A$500=5)*('射擊表'!$B$2:$B$500=M18),0)),NA())</f>
      </c>
      <c r="P18">
        <f t="array" ref="P18">IFERROR(SMALL(IF('射擊表'!$A$2:$A$500=6,'射擊表'!$B$2:$B$500),17),NA())</f>
      </c>
      <c r="Q18">
        <f t="array" ref="Q18">IFERROR(INDEX('射擊表'!$C$2:$C$500,MATCH(1,('射擊表'!$A$2:$A$500=6)*('射擊表'!$B$2:$B$500=P18),0)),NA())</f>
      </c>
      <c r="R18">
        <f t="array" ref="R18">IFERROR(INDEX('射擊表'!$D$2:$D$500,MATCH(1,('射擊表'!$A$2:$A$500=6)*('射擊表'!$B$2:$B$500=P18),0)),NA())</f>
      </c>
      <c r="S18">
        <f t="array" ref="S18">IFERROR(SMALL(IF('射擊表'!$A$2:$A$500=7,'射擊表'!$B$2:$B$500),17),NA())</f>
      </c>
      <c r="T18">
        <f t="array" ref="T18">IFERROR(INDEX('射擊表'!$C$2:$C$500,MATCH(1,('射擊表'!$A$2:$A$500=7)*('射擊表'!$B$2:$B$500=S18),0)),NA())</f>
      </c>
      <c r="U18">
        <f t="array" ref="U18">IFERROR(INDEX('射擊表'!$D$2:$D$500,MATCH(1,('射擊表'!$A$2:$A$500=7)*('射擊表'!$B$2:$B$500=S18),0)),NA())</f>
      </c>
      <c r="V18">
        <f t="array" ref="V18">IFERROR(SMALL(IF('射擊表'!$A$2:$A$500=8,'射擊表'!$B$2:$B$500),17),NA())</f>
      </c>
      <c r="W18">
        <f t="array" ref="W18">IFERROR(INDEX('射擊表'!$C$2:$C$500,MATCH(1,('射擊表'!$A$2:$A$500=8)*('射擊表'!$B$2:$B$500=V18),0)),NA())</f>
      </c>
      <c r="X18">
        <f t="array" ref="X18">IFERROR(INDEX('射擊表'!$D$2:$D$500,MATCH(1,('射擊表'!$A$2:$A$500=8)*('射擊表'!$B$2:$B$500=V18),0)),NA())</f>
      </c>
      <c r="Y18">
        <f t="array" ref="Y18">IFERROR(SMALL(IF('射擊表'!$A$2:$A$500=9,'射擊表'!$B$2:$B$500),17),NA())</f>
      </c>
      <c r="Z18">
        <f t="array" ref="Z18">IFERROR(INDEX('射擊表'!$C$2:$C$500,MATCH(1,('射擊表'!$A$2:$A$500=9)*('射擊表'!$B$2:$B$500=Y18),0)),NA())</f>
      </c>
      <c r="AA18">
        <f t="array" ref="AA18">IFERROR(INDEX('射擊表'!$D$2:$D$500,MATCH(1,('射擊表'!$A$2:$A$500=9)*('射擊表'!$B$2:$B$500=Y18),0)),NA())</f>
      </c>
    </row>
    <row r="19">
      <c r="A19">
        <f t="array" ref="A19">IFERROR(SMALL(IF('射擊表'!$A$2:$A$500=1,'射擊表'!$B$2:$B$500),18),NA())</f>
      </c>
      <c r="B19">
        <f t="array" ref="B19">IFERROR(INDEX('射擊表'!$C$2:$C$500,MATCH(1,('射擊表'!$A$2:$A$500=1)*('射擊表'!$B$2:$B$500=A19),0)),NA())</f>
      </c>
      <c r="C19">
        <f t="array" ref="C19">IFERROR(INDEX('射擊表'!$D$2:$D$500,MATCH(1,('射擊表'!$A$2:$A$500=1)*('射擊表'!$B$2:$B$500=A19),0)),NA())</f>
      </c>
      <c r="D19">
        <f t="array" ref="D19">IFERROR(SMALL(IF('射擊表'!$A$2:$A$500=2,'射擊表'!$B$2:$B$500),18),NA())</f>
      </c>
      <c r="E19">
        <f t="array" ref="E19">IFERROR(INDEX('射擊表'!$C$2:$C$500,MATCH(1,('射擊表'!$A$2:$A$500=2)*('射擊表'!$B$2:$B$500=D19),0)),NA())</f>
      </c>
      <c r="F19">
        <f t="array" ref="F19">IFERROR(INDEX('射擊表'!$D$2:$D$500,MATCH(1,('射擊表'!$A$2:$A$500=2)*('射擊表'!$B$2:$B$500=D19),0)),NA())</f>
      </c>
      <c r="G19">
        <f t="array" ref="G19">IFERROR(SMALL(IF('射擊表'!$A$2:$A$500=3,'射擊表'!$B$2:$B$500),18),NA())</f>
      </c>
      <c r="H19">
        <f t="array" ref="H19">IFERROR(INDEX('射擊表'!$C$2:$C$500,MATCH(1,('射擊表'!$A$2:$A$500=3)*('射擊表'!$B$2:$B$500=G19),0)),NA())</f>
      </c>
      <c r="I19">
        <f t="array" ref="I19">IFERROR(INDEX('射擊表'!$D$2:$D$500,MATCH(1,('射擊表'!$A$2:$A$500=3)*('射擊表'!$B$2:$B$500=G19),0)),NA())</f>
      </c>
      <c r="J19">
        <f t="array" ref="J19">IFERROR(SMALL(IF('射擊表'!$A$2:$A$500=4,'射擊表'!$B$2:$B$500),18),NA())</f>
      </c>
      <c r="K19">
        <f t="array" ref="K19">IFERROR(INDEX('射擊表'!$C$2:$C$500,MATCH(1,('射擊表'!$A$2:$A$500=4)*('射擊表'!$B$2:$B$500=J19),0)),NA())</f>
      </c>
      <c r="L19">
        <f t="array" ref="L19">IFERROR(INDEX('射擊表'!$D$2:$D$500,MATCH(1,('射擊表'!$A$2:$A$500=4)*('射擊表'!$B$2:$B$500=J19),0)),NA())</f>
      </c>
      <c r="M19">
        <f t="array" ref="M19">IFERROR(SMALL(IF('射擊表'!$A$2:$A$500=5,'射擊表'!$B$2:$B$500),18),NA())</f>
      </c>
      <c r="N19">
        <f t="array" ref="N19">IFERROR(INDEX('射擊表'!$C$2:$C$500,MATCH(1,('射擊表'!$A$2:$A$500=5)*('射擊表'!$B$2:$B$500=M19),0)),NA())</f>
      </c>
      <c r="O19">
        <f t="array" ref="O19">IFERROR(INDEX('射擊表'!$D$2:$D$500,MATCH(1,('射擊表'!$A$2:$A$500=5)*('射擊表'!$B$2:$B$500=M19),0)),NA())</f>
      </c>
      <c r="P19">
        <f t="array" ref="P19">IFERROR(SMALL(IF('射擊表'!$A$2:$A$500=6,'射擊表'!$B$2:$B$500),18),NA())</f>
      </c>
      <c r="Q19">
        <f t="array" ref="Q19">IFERROR(INDEX('射擊表'!$C$2:$C$500,MATCH(1,('射擊表'!$A$2:$A$500=6)*('射擊表'!$B$2:$B$500=P19),0)),NA())</f>
      </c>
      <c r="R19">
        <f t="array" ref="R19">IFERROR(INDEX('射擊表'!$D$2:$D$500,MATCH(1,('射擊表'!$A$2:$A$500=6)*('射擊表'!$B$2:$B$500=P19),0)),NA())</f>
      </c>
      <c r="S19">
        <f t="array" ref="S19">IFERROR(SMALL(IF('射擊表'!$A$2:$A$500=7,'射擊表'!$B$2:$B$500),18),NA())</f>
      </c>
      <c r="T19">
        <f t="array" ref="T19">IFERROR(INDEX('射擊表'!$C$2:$C$500,MATCH(1,('射擊表'!$A$2:$A$500=7)*('射擊表'!$B$2:$B$500=S19),0)),NA())</f>
      </c>
      <c r="U19">
        <f t="array" ref="U19">IFERROR(INDEX('射擊表'!$D$2:$D$500,MATCH(1,('射擊表'!$A$2:$A$500=7)*('射擊表'!$B$2:$B$500=S19),0)),NA())</f>
      </c>
      <c r="V19">
        <f t="array" ref="V19">IFERROR(SMALL(IF('射擊表'!$A$2:$A$500=8,'射擊表'!$B$2:$B$500),18),NA())</f>
      </c>
      <c r="W19">
        <f t="array" ref="W19">IFERROR(INDEX('射擊表'!$C$2:$C$500,MATCH(1,('射擊表'!$A$2:$A$500=8)*('射擊表'!$B$2:$B$500=V19),0)),NA())</f>
      </c>
      <c r="X19">
        <f t="array" ref="X19">IFERROR(INDEX('射擊表'!$D$2:$D$500,MATCH(1,('射擊表'!$A$2:$A$500=8)*('射擊表'!$B$2:$B$500=V19),0)),NA())</f>
      </c>
      <c r="Y19">
        <f t="array" ref="Y19">IFERROR(SMALL(IF('射擊表'!$A$2:$A$500=9,'射擊表'!$B$2:$B$500),18),NA())</f>
      </c>
      <c r="Z19">
        <f t="array" ref="Z19">IFERROR(INDEX('射擊表'!$C$2:$C$500,MATCH(1,('射擊表'!$A$2:$A$500=9)*('射擊表'!$B$2:$B$500=Y19),0)),NA())</f>
      </c>
      <c r="AA19">
        <f t="array" ref="AA19">IFERROR(INDEX('射擊表'!$D$2:$D$500,MATCH(1,('射擊表'!$A$2:$A$500=9)*('射擊表'!$B$2:$B$500=Y19),0)),NA())</f>
      </c>
    </row>
    <row r="20">
      <c r="A20">
        <f t="array" ref="A20">IFERROR(SMALL(IF('射擊表'!$A$2:$A$500=1,'射擊表'!$B$2:$B$500),19),NA())</f>
      </c>
      <c r="B20">
        <f t="array" ref="B20">IFERROR(INDEX('射擊表'!$C$2:$C$500,MATCH(1,('射擊表'!$A$2:$A$500=1)*('射擊表'!$B$2:$B$500=A20),0)),NA())</f>
      </c>
      <c r="C20">
        <f t="array" ref="C20">IFERROR(INDEX('射擊表'!$D$2:$D$500,MATCH(1,('射擊表'!$A$2:$A$500=1)*('射擊表'!$B$2:$B$500=A20),0)),NA())</f>
      </c>
      <c r="D20">
        <f t="array" ref="D20">IFERROR(SMALL(IF('射擊表'!$A$2:$A$500=2,'射擊表'!$B$2:$B$500),19),NA())</f>
      </c>
      <c r="E20">
        <f t="array" ref="E20">IFERROR(INDEX('射擊表'!$C$2:$C$500,MATCH(1,('射擊表'!$A$2:$A$500=2)*('射擊表'!$B$2:$B$500=D20),0)),NA())</f>
      </c>
      <c r="F20">
        <f t="array" ref="F20">IFERROR(INDEX('射擊表'!$D$2:$D$500,MATCH(1,('射擊表'!$A$2:$A$500=2)*('射擊表'!$B$2:$B$500=D20),0)),NA())</f>
      </c>
      <c r="G20">
        <f t="array" ref="G20">IFERROR(SMALL(IF('射擊表'!$A$2:$A$500=3,'射擊表'!$B$2:$B$500),19),NA())</f>
      </c>
      <c r="H20">
        <f t="array" ref="H20">IFERROR(INDEX('射擊表'!$C$2:$C$500,MATCH(1,('射擊表'!$A$2:$A$500=3)*('射擊表'!$B$2:$B$500=G20),0)),NA())</f>
      </c>
      <c r="I20">
        <f t="array" ref="I20">IFERROR(INDEX('射擊表'!$D$2:$D$500,MATCH(1,('射擊表'!$A$2:$A$500=3)*('射擊表'!$B$2:$B$500=G20),0)),NA())</f>
      </c>
      <c r="J20">
        <f t="array" ref="J20">IFERROR(SMALL(IF('射擊表'!$A$2:$A$500=4,'射擊表'!$B$2:$B$500),19),NA())</f>
      </c>
      <c r="K20">
        <f t="array" ref="K20">IFERROR(INDEX('射擊表'!$C$2:$C$500,MATCH(1,('射擊表'!$A$2:$A$500=4)*('射擊表'!$B$2:$B$500=J20),0)),NA())</f>
      </c>
      <c r="L20">
        <f t="array" ref="L20">IFERROR(INDEX('射擊表'!$D$2:$D$500,MATCH(1,('射擊表'!$A$2:$A$500=4)*('射擊表'!$B$2:$B$500=J20),0)),NA())</f>
      </c>
      <c r="M20">
        <f t="array" ref="M20">IFERROR(SMALL(IF('射擊表'!$A$2:$A$500=5,'射擊表'!$B$2:$B$500),19),NA())</f>
      </c>
      <c r="N20">
        <f t="array" ref="N20">IFERROR(INDEX('射擊表'!$C$2:$C$500,MATCH(1,('射擊表'!$A$2:$A$500=5)*('射擊表'!$B$2:$B$500=M20),0)),NA())</f>
      </c>
      <c r="O20">
        <f t="array" ref="O20">IFERROR(INDEX('射擊表'!$D$2:$D$500,MATCH(1,('射擊表'!$A$2:$A$500=5)*('射擊表'!$B$2:$B$500=M20),0)),NA())</f>
      </c>
      <c r="P20">
        <f t="array" ref="P20">IFERROR(SMALL(IF('射擊表'!$A$2:$A$500=6,'射擊表'!$B$2:$B$500),19),NA())</f>
      </c>
      <c r="Q20">
        <f t="array" ref="Q20">IFERROR(INDEX('射擊表'!$C$2:$C$500,MATCH(1,('射擊表'!$A$2:$A$500=6)*('射擊表'!$B$2:$B$500=P20),0)),NA())</f>
      </c>
      <c r="R20">
        <f t="array" ref="R20">IFERROR(INDEX('射擊表'!$D$2:$D$500,MATCH(1,('射擊表'!$A$2:$A$500=6)*('射擊表'!$B$2:$B$500=P20),0)),NA())</f>
      </c>
      <c r="S20">
        <f t="array" ref="S20">IFERROR(SMALL(IF('射擊表'!$A$2:$A$500=7,'射擊表'!$B$2:$B$500),19),NA())</f>
      </c>
      <c r="T20">
        <f t="array" ref="T20">IFERROR(INDEX('射擊表'!$C$2:$C$500,MATCH(1,('射擊表'!$A$2:$A$500=7)*('射擊表'!$B$2:$B$500=S20),0)),NA())</f>
      </c>
      <c r="U20">
        <f t="array" ref="U20">IFERROR(INDEX('射擊表'!$D$2:$D$500,MATCH(1,('射擊表'!$A$2:$A$500=7)*('射擊表'!$B$2:$B$500=S20),0)),NA())</f>
      </c>
      <c r="V20">
        <f t="array" ref="V20">IFERROR(SMALL(IF('射擊表'!$A$2:$A$500=8,'射擊表'!$B$2:$B$500),19),NA())</f>
      </c>
      <c r="W20">
        <f t="array" ref="W20">IFERROR(INDEX('射擊表'!$C$2:$C$500,MATCH(1,('射擊表'!$A$2:$A$500=8)*('射擊表'!$B$2:$B$500=V20),0)),NA())</f>
      </c>
      <c r="X20">
        <f t="array" ref="X20">IFERROR(INDEX('射擊表'!$D$2:$D$500,MATCH(1,('射擊表'!$A$2:$A$500=8)*('射擊表'!$B$2:$B$500=V20),0)),NA())</f>
      </c>
      <c r="Y20">
        <f t="array" ref="Y20">IFERROR(SMALL(IF('射擊表'!$A$2:$A$500=9,'射擊表'!$B$2:$B$500),19),NA())</f>
      </c>
      <c r="Z20">
        <f t="array" ref="Z20">IFERROR(INDEX('射擊表'!$C$2:$C$500,MATCH(1,('射擊表'!$A$2:$A$500=9)*('射擊表'!$B$2:$B$500=Y20),0)),NA())</f>
      </c>
      <c r="AA20">
        <f t="array" ref="AA20">IFERROR(INDEX('射擊表'!$D$2:$D$500,MATCH(1,('射擊表'!$A$2:$A$500=9)*('射擊表'!$B$2:$B$500=Y20),0)),NA())</f>
      </c>
    </row>
    <row r="21">
      <c r="A21">
        <f t="array" ref="A21">IFERROR(SMALL(IF('射擊表'!$A$2:$A$500=1,'射擊表'!$B$2:$B$500),20),NA())</f>
      </c>
      <c r="B21">
        <f t="array" ref="B21">IFERROR(INDEX('射擊表'!$C$2:$C$500,MATCH(1,('射擊表'!$A$2:$A$500=1)*('射擊表'!$B$2:$B$500=A21),0)),NA())</f>
      </c>
      <c r="C21">
        <f t="array" ref="C21">IFERROR(INDEX('射擊表'!$D$2:$D$500,MATCH(1,('射擊表'!$A$2:$A$500=1)*('射擊表'!$B$2:$B$500=A21),0)),NA())</f>
      </c>
      <c r="D21">
        <f t="array" ref="D21">IFERROR(SMALL(IF('射擊表'!$A$2:$A$500=2,'射擊表'!$B$2:$B$500),20),NA())</f>
      </c>
      <c r="E21">
        <f t="array" ref="E21">IFERROR(INDEX('射擊表'!$C$2:$C$500,MATCH(1,('射擊表'!$A$2:$A$500=2)*('射擊表'!$B$2:$B$500=D21),0)),NA())</f>
      </c>
      <c r="F21">
        <f t="array" ref="F21">IFERROR(INDEX('射擊表'!$D$2:$D$500,MATCH(1,('射擊表'!$A$2:$A$500=2)*('射擊表'!$B$2:$B$500=D21),0)),NA())</f>
      </c>
      <c r="G21">
        <f t="array" ref="G21">IFERROR(SMALL(IF('射擊表'!$A$2:$A$500=3,'射擊表'!$B$2:$B$500),20),NA())</f>
      </c>
      <c r="H21">
        <f t="array" ref="H21">IFERROR(INDEX('射擊表'!$C$2:$C$500,MATCH(1,('射擊表'!$A$2:$A$500=3)*('射擊表'!$B$2:$B$500=G21),0)),NA())</f>
      </c>
      <c r="I21">
        <f t="array" ref="I21">IFERROR(INDEX('射擊表'!$D$2:$D$500,MATCH(1,('射擊表'!$A$2:$A$500=3)*('射擊表'!$B$2:$B$500=G21),0)),NA())</f>
      </c>
      <c r="J21">
        <f t="array" ref="J21">IFERROR(SMALL(IF('射擊表'!$A$2:$A$500=4,'射擊表'!$B$2:$B$500),20),NA())</f>
      </c>
      <c r="K21">
        <f t="array" ref="K21">IFERROR(INDEX('射擊表'!$C$2:$C$500,MATCH(1,('射擊表'!$A$2:$A$500=4)*('射擊表'!$B$2:$B$500=J21),0)),NA())</f>
      </c>
      <c r="L21">
        <f t="array" ref="L21">IFERROR(INDEX('射擊表'!$D$2:$D$500,MATCH(1,('射擊表'!$A$2:$A$500=4)*('射擊表'!$B$2:$B$500=J21),0)),NA())</f>
      </c>
      <c r="M21">
        <f t="array" ref="M21">IFERROR(SMALL(IF('射擊表'!$A$2:$A$500=5,'射擊表'!$B$2:$B$500),20),NA())</f>
      </c>
      <c r="N21">
        <f t="array" ref="N21">IFERROR(INDEX('射擊表'!$C$2:$C$500,MATCH(1,('射擊表'!$A$2:$A$500=5)*('射擊表'!$B$2:$B$500=M21),0)),NA())</f>
      </c>
      <c r="O21">
        <f t="array" ref="O21">IFERROR(INDEX('射擊表'!$D$2:$D$500,MATCH(1,('射擊表'!$A$2:$A$500=5)*('射擊表'!$B$2:$B$500=M21),0)),NA())</f>
      </c>
      <c r="P21">
        <f t="array" ref="P21">IFERROR(SMALL(IF('射擊表'!$A$2:$A$500=6,'射擊表'!$B$2:$B$500),20),NA())</f>
      </c>
      <c r="Q21">
        <f t="array" ref="Q21">IFERROR(INDEX('射擊表'!$C$2:$C$500,MATCH(1,('射擊表'!$A$2:$A$500=6)*('射擊表'!$B$2:$B$500=P21),0)),NA())</f>
      </c>
      <c r="R21">
        <f t="array" ref="R21">IFERROR(INDEX('射擊表'!$D$2:$D$500,MATCH(1,('射擊表'!$A$2:$A$500=6)*('射擊表'!$B$2:$B$500=P21),0)),NA())</f>
      </c>
      <c r="S21">
        <f t="array" ref="S21">IFERROR(SMALL(IF('射擊表'!$A$2:$A$500=7,'射擊表'!$B$2:$B$500),20),NA())</f>
      </c>
      <c r="T21">
        <f t="array" ref="T21">IFERROR(INDEX('射擊表'!$C$2:$C$500,MATCH(1,('射擊表'!$A$2:$A$500=7)*('射擊表'!$B$2:$B$500=S21),0)),NA())</f>
      </c>
      <c r="U21">
        <f t="array" ref="U21">IFERROR(INDEX('射擊表'!$D$2:$D$500,MATCH(1,('射擊表'!$A$2:$A$500=7)*('射擊表'!$B$2:$B$500=S21),0)),NA())</f>
      </c>
      <c r="V21">
        <f t="array" ref="V21">IFERROR(SMALL(IF('射擊表'!$A$2:$A$500=8,'射擊表'!$B$2:$B$500),20),NA())</f>
      </c>
      <c r="W21">
        <f t="array" ref="W21">IFERROR(INDEX('射擊表'!$C$2:$C$500,MATCH(1,('射擊表'!$A$2:$A$500=8)*('射擊表'!$B$2:$B$500=V21),0)),NA())</f>
      </c>
      <c r="X21">
        <f t="array" ref="X21">IFERROR(INDEX('射擊表'!$D$2:$D$500,MATCH(1,('射擊表'!$A$2:$A$500=8)*('射擊表'!$B$2:$B$500=V21),0)),NA())</f>
      </c>
      <c r="Y21">
        <f t="array" ref="Y21">IFERROR(SMALL(IF('射擊表'!$A$2:$A$500=9,'射擊表'!$B$2:$B$500),20),NA())</f>
      </c>
      <c r="Z21">
        <f t="array" ref="Z21">IFERROR(INDEX('射擊表'!$C$2:$C$500,MATCH(1,('射擊表'!$A$2:$A$500=9)*('射擊表'!$B$2:$B$500=Y21),0)),NA())</f>
      </c>
      <c r="AA21">
        <f t="array" ref="AA21">IFERROR(INDEX('射擊表'!$D$2:$D$500,MATCH(1,('射擊表'!$A$2:$A$500=9)*('射擊表'!$B$2:$B$500=Y21),0)),NA())</f>
      </c>
    </row>
    <row r="22">
      <c r="A22">
        <f t="array" ref="A22">IFERROR(SMALL(IF('射擊表'!$A$2:$A$500=1,'射擊表'!$B$2:$B$500),21),NA())</f>
      </c>
      <c r="B22">
        <f t="array" ref="B22">IFERROR(INDEX('射擊表'!$C$2:$C$500,MATCH(1,('射擊表'!$A$2:$A$500=1)*('射擊表'!$B$2:$B$500=A22),0)),NA())</f>
      </c>
      <c r="C22">
        <f t="array" ref="C22">IFERROR(INDEX('射擊表'!$D$2:$D$500,MATCH(1,('射擊表'!$A$2:$A$500=1)*('射擊表'!$B$2:$B$500=A22),0)),NA())</f>
      </c>
      <c r="D22">
        <f t="array" ref="D22">IFERROR(SMALL(IF('射擊表'!$A$2:$A$500=2,'射擊表'!$B$2:$B$500),21),NA())</f>
      </c>
      <c r="E22">
        <f t="array" ref="E22">IFERROR(INDEX('射擊表'!$C$2:$C$500,MATCH(1,('射擊表'!$A$2:$A$500=2)*('射擊表'!$B$2:$B$500=D22),0)),NA())</f>
      </c>
      <c r="F22">
        <f t="array" ref="F22">IFERROR(INDEX('射擊表'!$D$2:$D$500,MATCH(1,('射擊表'!$A$2:$A$500=2)*('射擊表'!$B$2:$B$500=D22),0)),NA())</f>
      </c>
      <c r="G22">
        <f t="array" ref="G22">IFERROR(SMALL(IF('射擊表'!$A$2:$A$500=3,'射擊表'!$B$2:$B$500),21),NA())</f>
      </c>
      <c r="H22">
        <f t="array" ref="H22">IFERROR(INDEX('射擊表'!$C$2:$C$500,MATCH(1,('射擊表'!$A$2:$A$500=3)*('射擊表'!$B$2:$B$500=G22),0)),NA())</f>
      </c>
      <c r="I22">
        <f t="array" ref="I22">IFERROR(INDEX('射擊表'!$D$2:$D$500,MATCH(1,('射擊表'!$A$2:$A$500=3)*('射擊表'!$B$2:$B$500=G22),0)),NA())</f>
      </c>
      <c r="J22">
        <f t="array" ref="J22">IFERROR(SMALL(IF('射擊表'!$A$2:$A$500=4,'射擊表'!$B$2:$B$500),21),NA())</f>
      </c>
      <c r="K22">
        <f t="array" ref="K22">IFERROR(INDEX('射擊表'!$C$2:$C$500,MATCH(1,('射擊表'!$A$2:$A$500=4)*('射擊表'!$B$2:$B$500=J22),0)),NA())</f>
      </c>
      <c r="L22">
        <f t="array" ref="L22">IFERROR(INDEX('射擊表'!$D$2:$D$500,MATCH(1,('射擊表'!$A$2:$A$500=4)*('射擊表'!$B$2:$B$500=J22),0)),NA())</f>
      </c>
      <c r="M22">
        <f t="array" ref="M22">IFERROR(SMALL(IF('射擊表'!$A$2:$A$500=5,'射擊表'!$B$2:$B$500),21),NA())</f>
      </c>
      <c r="N22">
        <f t="array" ref="N22">IFERROR(INDEX('射擊表'!$C$2:$C$500,MATCH(1,('射擊表'!$A$2:$A$500=5)*('射擊表'!$B$2:$B$500=M22),0)),NA())</f>
      </c>
      <c r="O22">
        <f t="array" ref="O22">IFERROR(INDEX('射擊表'!$D$2:$D$500,MATCH(1,('射擊表'!$A$2:$A$500=5)*('射擊表'!$B$2:$B$500=M22),0)),NA())</f>
      </c>
      <c r="P22">
        <f t="array" ref="P22">IFERROR(SMALL(IF('射擊表'!$A$2:$A$500=6,'射擊表'!$B$2:$B$500),21),NA())</f>
      </c>
      <c r="Q22">
        <f t="array" ref="Q22">IFERROR(INDEX('射擊表'!$C$2:$C$500,MATCH(1,('射擊表'!$A$2:$A$500=6)*('射擊表'!$B$2:$B$500=P22),0)),NA())</f>
      </c>
      <c r="R22">
        <f t="array" ref="R22">IFERROR(INDEX('射擊表'!$D$2:$D$500,MATCH(1,('射擊表'!$A$2:$A$500=6)*('射擊表'!$B$2:$B$500=P22),0)),NA())</f>
      </c>
      <c r="S22">
        <f t="array" ref="S22">IFERROR(SMALL(IF('射擊表'!$A$2:$A$500=7,'射擊表'!$B$2:$B$500),21),NA())</f>
      </c>
      <c r="T22">
        <f t="array" ref="T22">IFERROR(INDEX('射擊表'!$C$2:$C$500,MATCH(1,('射擊表'!$A$2:$A$500=7)*('射擊表'!$B$2:$B$500=S22),0)),NA())</f>
      </c>
      <c r="U22">
        <f t="array" ref="U22">IFERROR(INDEX('射擊表'!$D$2:$D$500,MATCH(1,('射擊表'!$A$2:$A$500=7)*('射擊表'!$B$2:$B$500=S22),0)),NA())</f>
      </c>
      <c r="V22">
        <f t="array" ref="V22">IFERROR(SMALL(IF('射擊表'!$A$2:$A$500=8,'射擊表'!$B$2:$B$500),21),NA())</f>
      </c>
      <c r="W22">
        <f t="array" ref="W22">IFERROR(INDEX('射擊表'!$C$2:$C$500,MATCH(1,('射擊表'!$A$2:$A$500=8)*('射擊表'!$B$2:$B$500=V22),0)),NA())</f>
      </c>
      <c r="X22">
        <f t="array" ref="X22">IFERROR(INDEX('射擊表'!$D$2:$D$500,MATCH(1,('射擊表'!$A$2:$A$500=8)*('射擊表'!$B$2:$B$500=V22),0)),NA())</f>
      </c>
      <c r="Y22">
        <f t="array" ref="Y22">IFERROR(SMALL(IF('射擊表'!$A$2:$A$500=9,'射擊表'!$B$2:$B$500),21),NA())</f>
      </c>
      <c r="Z22">
        <f t="array" ref="Z22">IFERROR(INDEX('射擊表'!$C$2:$C$500,MATCH(1,('射擊表'!$A$2:$A$500=9)*('射擊表'!$B$2:$B$500=Y22),0)),NA())</f>
      </c>
      <c r="AA22">
        <f t="array" ref="AA22">IFERROR(INDEX('射擊表'!$D$2:$D$500,MATCH(1,('射擊表'!$A$2:$A$500=9)*('射擊表'!$B$2:$B$500=Y22),0)),NA())</f>
      </c>
    </row>
    <row r="23">
      <c r="A23">
        <f t="array" ref="A23">IFERROR(SMALL(IF('射擊表'!$A$2:$A$500=1,'射擊表'!$B$2:$B$500),22),NA())</f>
      </c>
      <c r="B23">
        <f t="array" ref="B23">IFERROR(INDEX('射擊表'!$C$2:$C$500,MATCH(1,('射擊表'!$A$2:$A$500=1)*('射擊表'!$B$2:$B$500=A23),0)),NA())</f>
      </c>
      <c r="C23">
        <f t="array" ref="C23">IFERROR(INDEX('射擊表'!$D$2:$D$500,MATCH(1,('射擊表'!$A$2:$A$500=1)*('射擊表'!$B$2:$B$500=A23),0)),NA())</f>
      </c>
      <c r="D23">
        <f t="array" ref="D23">IFERROR(SMALL(IF('射擊表'!$A$2:$A$500=2,'射擊表'!$B$2:$B$500),22),NA())</f>
      </c>
      <c r="E23">
        <f t="array" ref="E23">IFERROR(INDEX('射擊表'!$C$2:$C$500,MATCH(1,('射擊表'!$A$2:$A$500=2)*('射擊表'!$B$2:$B$500=D23),0)),NA())</f>
      </c>
      <c r="F23">
        <f t="array" ref="F23">IFERROR(INDEX('射擊表'!$D$2:$D$500,MATCH(1,('射擊表'!$A$2:$A$500=2)*('射擊表'!$B$2:$B$500=D23),0)),NA())</f>
      </c>
      <c r="G23">
        <f t="array" ref="G23">IFERROR(SMALL(IF('射擊表'!$A$2:$A$500=3,'射擊表'!$B$2:$B$500),22),NA())</f>
      </c>
      <c r="H23">
        <f t="array" ref="H23">IFERROR(INDEX('射擊表'!$C$2:$C$500,MATCH(1,('射擊表'!$A$2:$A$500=3)*('射擊表'!$B$2:$B$500=G23),0)),NA())</f>
      </c>
      <c r="I23">
        <f t="array" ref="I23">IFERROR(INDEX('射擊表'!$D$2:$D$500,MATCH(1,('射擊表'!$A$2:$A$500=3)*('射擊表'!$B$2:$B$500=G23),0)),NA())</f>
      </c>
      <c r="J23">
        <f t="array" ref="J23">IFERROR(SMALL(IF('射擊表'!$A$2:$A$500=4,'射擊表'!$B$2:$B$500),22),NA())</f>
      </c>
      <c r="K23">
        <f t="array" ref="K23">IFERROR(INDEX('射擊表'!$C$2:$C$500,MATCH(1,('射擊表'!$A$2:$A$500=4)*('射擊表'!$B$2:$B$500=J23),0)),NA())</f>
      </c>
      <c r="L23">
        <f t="array" ref="L23">IFERROR(INDEX('射擊表'!$D$2:$D$500,MATCH(1,('射擊表'!$A$2:$A$500=4)*('射擊表'!$B$2:$B$500=J23),0)),NA())</f>
      </c>
      <c r="M23">
        <f t="array" ref="M23">IFERROR(SMALL(IF('射擊表'!$A$2:$A$500=5,'射擊表'!$B$2:$B$500),22),NA())</f>
      </c>
      <c r="N23">
        <f t="array" ref="N23">IFERROR(INDEX('射擊表'!$C$2:$C$500,MATCH(1,('射擊表'!$A$2:$A$500=5)*('射擊表'!$B$2:$B$500=M23),0)),NA())</f>
      </c>
      <c r="O23">
        <f t="array" ref="O23">IFERROR(INDEX('射擊表'!$D$2:$D$500,MATCH(1,('射擊表'!$A$2:$A$500=5)*('射擊表'!$B$2:$B$500=M23),0)),NA())</f>
      </c>
      <c r="P23">
        <f t="array" ref="P23">IFERROR(SMALL(IF('射擊表'!$A$2:$A$500=6,'射擊表'!$B$2:$B$500),22),NA())</f>
      </c>
      <c r="Q23">
        <f t="array" ref="Q23">IFERROR(INDEX('射擊表'!$C$2:$C$500,MATCH(1,('射擊表'!$A$2:$A$500=6)*('射擊表'!$B$2:$B$500=P23),0)),NA())</f>
      </c>
      <c r="R23">
        <f t="array" ref="R23">IFERROR(INDEX('射擊表'!$D$2:$D$500,MATCH(1,('射擊表'!$A$2:$A$500=6)*('射擊表'!$B$2:$B$500=P23),0)),NA())</f>
      </c>
      <c r="S23">
        <f t="array" ref="S23">IFERROR(SMALL(IF('射擊表'!$A$2:$A$500=7,'射擊表'!$B$2:$B$500),22),NA())</f>
      </c>
      <c r="T23">
        <f t="array" ref="T23">IFERROR(INDEX('射擊表'!$C$2:$C$500,MATCH(1,('射擊表'!$A$2:$A$500=7)*('射擊表'!$B$2:$B$500=S23),0)),NA())</f>
      </c>
      <c r="U23">
        <f t="array" ref="U23">IFERROR(INDEX('射擊表'!$D$2:$D$500,MATCH(1,('射擊表'!$A$2:$A$500=7)*('射擊表'!$B$2:$B$500=S23),0)),NA())</f>
      </c>
      <c r="V23">
        <f t="array" ref="V23">IFERROR(SMALL(IF('射擊表'!$A$2:$A$500=8,'射擊表'!$B$2:$B$500),22),NA())</f>
      </c>
      <c r="W23">
        <f t="array" ref="W23">IFERROR(INDEX('射擊表'!$C$2:$C$500,MATCH(1,('射擊表'!$A$2:$A$500=8)*('射擊表'!$B$2:$B$500=V23),0)),NA())</f>
      </c>
      <c r="X23">
        <f t="array" ref="X23">IFERROR(INDEX('射擊表'!$D$2:$D$500,MATCH(1,('射擊表'!$A$2:$A$500=8)*('射擊表'!$B$2:$B$500=V23),0)),NA())</f>
      </c>
      <c r="Y23">
        <f t="array" ref="Y23">IFERROR(SMALL(IF('射擊表'!$A$2:$A$500=9,'射擊表'!$B$2:$B$500),22),NA())</f>
      </c>
      <c r="Z23">
        <f t="array" ref="Z23">IFERROR(INDEX('射擊表'!$C$2:$C$500,MATCH(1,('射擊表'!$A$2:$A$500=9)*('射擊表'!$B$2:$B$500=Y23),0)),NA())</f>
      </c>
      <c r="AA23">
        <f t="array" ref="AA23">IFERROR(INDEX('射擊表'!$D$2:$D$500,MATCH(1,('射擊表'!$A$2:$A$500=9)*('射擊表'!$B$2:$B$500=Y23),0)),NA())</f>
      </c>
    </row>
    <row r="24">
      <c r="A24">
        <f t="array" ref="A24">IFERROR(SMALL(IF('射擊表'!$A$2:$A$500=1,'射擊表'!$B$2:$B$500),23),NA())</f>
      </c>
      <c r="B24">
        <f t="array" ref="B24">IFERROR(INDEX('射擊表'!$C$2:$C$500,MATCH(1,('射擊表'!$A$2:$A$500=1)*('射擊表'!$B$2:$B$500=A24),0)),NA())</f>
      </c>
      <c r="C24">
        <f t="array" ref="C24">IFERROR(INDEX('射擊表'!$D$2:$D$500,MATCH(1,('射擊表'!$A$2:$A$500=1)*('射擊表'!$B$2:$B$500=A24),0)),NA())</f>
      </c>
      <c r="D24">
        <f t="array" ref="D24">IFERROR(SMALL(IF('射擊表'!$A$2:$A$500=2,'射擊表'!$B$2:$B$500),23),NA())</f>
      </c>
      <c r="E24">
        <f t="array" ref="E24">IFERROR(INDEX('射擊表'!$C$2:$C$500,MATCH(1,('射擊表'!$A$2:$A$500=2)*('射擊表'!$B$2:$B$500=D24),0)),NA())</f>
      </c>
      <c r="F24">
        <f t="array" ref="F24">IFERROR(INDEX('射擊表'!$D$2:$D$500,MATCH(1,('射擊表'!$A$2:$A$500=2)*('射擊表'!$B$2:$B$500=D24),0)),NA())</f>
      </c>
      <c r="G24">
        <f t="array" ref="G24">IFERROR(SMALL(IF('射擊表'!$A$2:$A$500=3,'射擊表'!$B$2:$B$500),23),NA())</f>
      </c>
      <c r="H24">
        <f t="array" ref="H24">IFERROR(INDEX('射擊表'!$C$2:$C$500,MATCH(1,('射擊表'!$A$2:$A$500=3)*('射擊表'!$B$2:$B$500=G24),0)),NA())</f>
      </c>
      <c r="I24">
        <f t="array" ref="I24">IFERROR(INDEX('射擊表'!$D$2:$D$500,MATCH(1,('射擊表'!$A$2:$A$500=3)*('射擊表'!$B$2:$B$500=G24),0)),NA())</f>
      </c>
      <c r="J24">
        <f t="array" ref="J24">IFERROR(SMALL(IF('射擊表'!$A$2:$A$500=4,'射擊表'!$B$2:$B$500),23),NA())</f>
      </c>
      <c r="K24">
        <f t="array" ref="K24">IFERROR(INDEX('射擊表'!$C$2:$C$500,MATCH(1,('射擊表'!$A$2:$A$500=4)*('射擊表'!$B$2:$B$500=J24),0)),NA())</f>
      </c>
      <c r="L24">
        <f t="array" ref="L24">IFERROR(INDEX('射擊表'!$D$2:$D$500,MATCH(1,('射擊表'!$A$2:$A$500=4)*('射擊表'!$B$2:$B$500=J24),0)),NA())</f>
      </c>
      <c r="M24">
        <f t="array" ref="M24">IFERROR(SMALL(IF('射擊表'!$A$2:$A$500=5,'射擊表'!$B$2:$B$500),23),NA())</f>
      </c>
      <c r="N24">
        <f t="array" ref="N24">IFERROR(INDEX('射擊表'!$C$2:$C$500,MATCH(1,('射擊表'!$A$2:$A$500=5)*('射擊表'!$B$2:$B$500=M24),0)),NA())</f>
      </c>
      <c r="O24">
        <f t="array" ref="O24">IFERROR(INDEX('射擊表'!$D$2:$D$500,MATCH(1,('射擊表'!$A$2:$A$500=5)*('射擊表'!$B$2:$B$500=M24),0)),NA())</f>
      </c>
      <c r="P24">
        <f t="array" ref="P24">IFERROR(SMALL(IF('射擊表'!$A$2:$A$500=6,'射擊表'!$B$2:$B$500),23),NA())</f>
      </c>
      <c r="Q24">
        <f t="array" ref="Q24">IFERROR(INDEX('射擊表'!$C$2:$C$500,MATCH(1,('射擊表'!$A$2:$A$500=6)*('射擊表'!$B$2:$B$500=P24),0)),NA())</f>
      </c>
      <c r="R24">
        <f t="array" ref="R24">IFERROR(INDEX('射擊表'!$D$2:$D$500,MATCH(1,('射擊表'!$A$2:$A$500=6)*('射擊表'!$B$2:$B$500=P24),0)),NA())</f>
      </c>
      <c r="S24">
        <f t="array" ref="S24">IFERROR(SMALL(IF('射擊表'!$A$2:$A$500=7,'射擊表'!$B$2:$B$500),23),NA())</f>
      </c>
      <c r="T24">
        <f t="array" ref="T24">IFERROR(INDEX('射擊表'!$C$2:$C$500,MATCH(1,('射擊表'!$A$2:$A$500=7)*('射擊表'!$B$2:$B$500=S24),0)),NA())</f>
      </c>
      <c r="U24">
        <f t="array" ref="U24">IFERROR(INDEX('射擊表'!$D$2:$D$500,MATCH(1,('射擊表'!$A$2:$A$500=7)*('射擊表'!$B$2:$B$500=S24),0)),NA())</f>
      </c>
      <c r="V24">
        <f t="array" ref="V24">IFERROR(SMALL(IF('射擊表'!$A$2:$A$500=8,'射擊表'!$B$2:$B$500),23),NA())</f>
      </c>
      <c r="W24">
        <f t="array" ref="W24">IFERROR(INDEX('射擊表'!$C$2:$C$500,MATCH(1,('射擊表'!$A$2:$A$500=8)*('射擊表'!$B$2:$B$500=V24),0)),NA())</f>
      </c>
      <c r="X24">
        <f t="array" ref="X24">IFERROR(INDEX('射擊表'!$D$2:$D$500,MATCH(1,('射擊表'!$A$2:$A$500=8)*('射擊表'!$B$2:$B$500=V24),0)),NA())</f>
      </c>
      <c r="Y24">
        <f t="array" ref="Y24">IFERROR(SMALL(IF('射擊表'!$A$2:$A$500=9,'射擊表'!$B$2:$B$500),23),NA())</f>
      </c>
      <c r="Z24">
        <f t="array" ref="Z24">IFERROR(INDEX('射擊表'!$C$2:$C$500,MATCH(1,('射擊表'!$A$2:$A$500=9)*('射擊表'!$B$2:$B$500=Y24),0)),NA())</f>
      </c>
      <c r="AA24">
        <f t="array" ref="AA24">IFERROR(INDEX('射擊表'!$D$2:$D$500,MATCH(1,('射擊表'!$A$2:$A$500=9)*('射擊表'!$B$2:$B$500=Y24),0)),NA())</f>
      </c>
    </row>
    <row r="25">
      <c r="A25">
        <f t="array" ref="A25">IFERROR(SMALL(IF('射擊表'!$A$2:$A$500=1,'射擊表'!$B$2:$B$500),24),NA())</f>
      </c>
      <c r="B25">
        <f t="array" ref="B25">IFERROR(INDEX('射擊表'!$C$2:$C$500,MATCH(1,('射擊表'!$A$2:$A$500=1)*('射擊表'!$B$2:$B$500=A25),0)),NA())</f>
      </c>
      <c r="C25">
        <f t="array" ref="C25">IFERROR(INDEX('射擊表'!$D$2:$D$500,MATCH(1,('射擊表'!$A$2:$A$500=1)*('射擊表'!$B$2:$B$500=A25),0)),NA())</f>
      </c>
      <c r="D25">
        <f t="array" ref="D25">IFERROR(SMALL(IF('射擊表'!$A$2:$A$500=2,'射擊表'!$B$2:$B$500),24),NA())</f>
      </c>
      <c r="E25">
        <f t="array" ref="E25">IFERROR(INDEX('射擊表'!$C$2:$C$500,MATCH(1,('射擊表'!$A$2:$A$500=2)*('射擊表'!$B$2:$B$500=D25),0)),NA())</f>
      </c>
      <c r="F25">
        <f t="array" ref="F25">IFERROR(INDEX('射擊表'!$D$2:$D$500,MATCH(1,('射擊表'!$A$2:$A$500=2)*('射擊表'!$B$2:$B$500=D25),0)),NA())</f>
      </c>
      <c r="G25">
        <f t="array" ref="G25">IFERROR(SMALL(IF('射擊表'!$A$2:$A$500=3,'射擊表'!$B$2:$B$500),24),NA())</f>
      </c>
      <c r="H25">
        <f t="array" ref="H25">IFERROR(INDEX('射擊表'!$C$2:$C$500,MATCH(1,('射擊表'!$A$2:$A$500=3)*('射擊表'!$B$2:$B$500=G25),0)),NA())</f>
      </c>
      <c r="I25">
        <f t="array" ref="I25">IFERROR(INDEX('射擊表'!$D$2:$D$500,MATCH(1,('射擊表'!$A$2:$A$500=3)*('射擊表'!$B$2:$B$500=G25),0)),NA())</f>
      </c>
      <c r="J25">
        <f t="array" ref="J25">IFERROR(SMALL(IF('射擊表'!$A$2:$A$500=4,'射擊表'!$B$2:$B$500),24),NA())</f>
      </c>
      <c r="K25">
        <f t="array" ref="K25">IFERROR(INDEX('射擊表'!$C$2:$C$500,MATCH(1,('射擊表'!$A$2:$A$500=4)*('射擊表'!$B$2:$B$500=J25),0)),NA())</f>
      </c>
      <c r="L25">
        <f t="array" ref="L25">IFERROR(INDEX('射擊表'!$D$2:$D$500,MATCH(1,('射擊表'!$A$2:$A$500=4)*('射擊表'!$B$2:$B$500=J25),0)),NA())</f>
      </c>
      <c r="M25">
        <f t="array" ref="M25">IFERROR(SMALL(IF('射擊表'!$A$2:$A$500=5,'射擊表'!$B$2:$B$500),24),NA())</f>
      </c>
      <c r="N25">
        <f t="array" ref="N25">IFERROR(INDEX('射擊表'!$C$2:$C$500,MATCH(1,('射擊表'!$A$2:$A$500=5)*('射擊表'!$B$2:$B$500=M25),0)),NA())</f>
      </c>
      <c r="O25">
        <f t="array" ref="O25">IFERROR(INDEX('射擊表'!$D$2:$D$500,MATCH(1,('射擊表'!$A$2:$A$500=5)*('射擊表'!$B$2:$B$500=M25),0)),NA())</f>
      </c>
      <c r="P25">
        <f t="array" ref="P25">IFERROR(SMALL(IF('射擊表'!$A$2:$A$500=6,'射擊表'!$B$2:$B$500),24),NA())</f>
      </c>
      <c r="Q25">
        <f t="array" ref="Q25">IFERROR(INDEX('射擊表'!$C$2:$C$500,MATCH(1,('射擊表'!$A$2:$A$500=6)*('射擊表'!$B$2:$B$500=P25),0)),NA())</f>
      </c>
      <c r="R25">
        <f t="array" ref="R25">IFERROR(INDEX('射擊表'!$D$2:$D$500,MATCH(1,('射擊表'!$A$2:$A$500=6)*('射擊表'!$B$2:$B$500=P25),0)),NA())</f>
      </c>
      <c r="S25">
        <f t="array" ref="S25">IFERROR(SMALL(IF('射擊表'!$A$2:$A$500=7,'射擊表'!$B$2:$B$500),24),NA())</f>
      </c>
      <c r="T25">
        <f t="array" ref="T25">IFERROR(INDEX('射擊表'!$C$2:$C$500,MATCH(1,('射擊表'!$A$2:$A$500=7)*('射擊表'!$B$2:$B$500=S25),0)),NA())</f>
      </c>
      <c r="U25">
        <f t="array" ref="U25">IFERROR(INDEX('射擊表'!$D$2:$D$500,MATCH(1,('射擊表'!$A$2:$A$500=7)*('射擊表'!$B$2:$B$500=S25),0)),NA())</f>
      </c>
      <c r="V25">
        <f t="array" ref="V25">IFERROR(SMALL(IF('射擊表'!$A$2:$A$500=8,'射擊表'!$B$2:$B$500),24),NA())</f>
      </c>
      <c r="W25">
        <f t="array" ref="W25">IFERROR(INDEX('射擊表'!$C$2:$C$500,MATCH(1,('射擊表'!$A$2:$A$500=8)*('射擊表'!$B$2:$B$500=V25),0)),NA())</f>
      </c>
      <c r="X25">
        <f t="array" ref="X25">IFERROR(INDEX('射擊表'!$D$2:$D$500,MATCH(1,('射擊表'!$A$2:$A$500=8)*('射擊表'!$B$2:$B$500=V25),0)),NA())</f>
      </c>
      <c r="Y25">
        <f t="array" ref="Y25">IFERROR(SMALL(IF('射擊表'!$A$2:$A$500=9,'射擊表'!$B$2:$B$500),24),NA())</f>
      </c>
      <c r="Z25">
        <f t="array" ref="Z25">IFERROR(INDEX('射擊表'!$C$2:$C$500,MATCH(1,('射擊表'!$A$2:$A$500=9)*('射擊表'!$B$2:$B$500=Y25),0)),NA())</f>
      </c>
      <c r="AA25">
        <f t="array" ref="AA25">IFERROR(INDEX('射擊表'!$D$2:$D$500,MATCH(1,('射擊表'!$A$2:$A$500=9)*('射擊表'!$B$2:$B$500=Y25),0)),NA())</f>
      </c>
    </row>
    <row r="26">
      <c r="A26">
        <f t="array" ref="A26">IFERROR(SMALL(IF('射擊表'!$A$2:$A$500=1,'射擊表'!$B$2:$B$500),25),NA())</f>
      </c>
      <c r="B26">
        <f t="array" ref="B26">IFERROR(INDEX('射擊表'!$C$2:$C$500,MATCH(1,('射擊表'!$A$2:$A$500=1)*('射擊表'!$B$2:$B$500=A26),0)),NA())</f>
      </c>
      <c r="C26">
        <f t="array" ref="C26">IFERROR(INDEX('射擊表'!$D$2:$D$500,MATCH(1,('射擊表'!$A$2:$A$500=1)*('射擊表'!$B$2:$B$500=A26),0)),NA())</f>
      </c>
      <c r="D26">
        <f t="array" ref="D26">IFERROR(SMALL(IF('射擊表'!$A$2:$A$500=2,'射擊表'!$B$2:$B$500),25),NA())</f>
      </c>
      <c r="E26">
        <f t="array" ref="E26">IFERROR(INDEX('射擊表'!$C$2:$C$500,MATCH(1,('射擊表'!$A$2:$A$500=2)*('射擊表'!$B$2:$B$500=D26),0)),NA())</f>
      </c>
      <c r="F26">
        <f t="array" ref="F26">IFERROR(INDEX('射擊表'!$D$2:$D$500,MATCH(1,('射擊表'!$A$2:$A$500=2)*('射擊表'!$B$2:$B$500=D26),0)),NA())</f>
      </c>
      <c r="G26">
        <f t="array" ref="G26">IFERROR(SMALL(IF('射擊表'!$A$2:$A$500=3,'射擊表'!$B$2:$B$500),25),NA())</f>
      </c>
      <c r="H26">
        <f t="array" ref="H26">IFERROR(INDEX('射擊表'!$C$2:$C$500,MATCH(1,('射擊表'!$A$2:$A$500=3)*('射擊表'!$B$2:$B$500=G26),0)),NA())</f>
      </c>
      <c r="I26">
        <f t="array" ref="I26">IFERROR(INDEX('射擊表'!$D$2:$D$500,MATCH(1,('射擊表'!$A$2:$A$500=3)*('射擊表'!$B$2:$B$500=G26),0)),NA())</f>
      </c>
      <c r="J26">
        <f t="array" ref="J26">IFERROR(SMALL(IF('射擊表'!$A$2:$A$500=4,'射擊表'!$B$2:$B$500),25),NA())</f>
      </c>
      <c r="K26">
        <f t="array" ref="K26">IFERROR(INDEX('射擊表'!$C$2:$C$500,MATCH(1,('射擊表'!$A$2:$A$500=4)*('射擊表'!$B$2:$B$500=J26),0)),NA())</f>
      </c>
      <c r="L26">
        <f t="array" ref="L26">IFERROR(INDEX('射擊表'!$D$2:$D$500,MATCH(1,('射擊表'!$A$2:$A$500=4)*('射擊表'!$B$2:$B$500=J26),0)),NA())</f>
      </c>
      <c r="M26">
        <f t="array" ref="M26">IFERROR(SMALL(IF('射擊表'!$A$2:$A$500=5,'射擊表'!$B$2:$B$500),25),NA())</f>
      </c>
      <c r="N26">
        <f t="array" ref="N26">IFERROR(INDEX('射擊表'!$C$2:$C$500,MATCH(1,('射擊表'!$A$2:$A$500=5)*('射擊表'!$B$2:$B$500=M26),0)),NA())</f>
      </c>
      <c r="O26">
        <f t="array" ref="O26">IFERROR(INDEX('射擊表'!$D$2:$D$500,MATCH(1,('射擊表'!$A$2:$A$500=5)*('射擊表'!$B$2:$B$500=M26),0)),NA())</f>
      </c>
      <c r="P26">
        <f t="array" ref="P26">IFERROR(SMALL(IF('射擊表'!$A$2:$A$500=6,'射擊表'!$B$2:$B$500),25),NA())</f>
      </c>
      <c r="Q26">
        <f t="array" ref="Q26">IFERROR(INDEX('射擊表'!$C$2:$C$500,MATCH(1,('射擊表'!$A$2:$A$500=6)*('射擊表'!$B$2:$B$500=P26),0)),NA())</f>
      </c>
      <c r="R26">
        <f t="array" ref="R26">IFERROR(INDEX('射擊表'!$D$2:$D$500,MATCH(1,('射擊表'!$A$2:$A$500=6)*('射擊表'!$B$2:$B$500=P26),0)),NA())</f>
      </c>
      <c r="S26">
        <f t="array" ref="S26">IFERROR(SMALL(IF('射擊表'!$A$2:$A$500=7,'射擊表'!$B$2:$B$500),25),NA())</f>
      </c>
      <c r="T26">
        <f t="array" ref="T26">IFERROR(INDEX('射擊表'!$C$2:$C$500,MATCH(1,('射擊表'!$A$2:$A$500=7)*('射擊表'!$B$2:$B$500=S26),0)),NA())</f>
      </c>
      <c r="U26">
        <f t="array" ref="U26">IFERROR(INDEX('射擊表'!$D$2:$D$500,MATCH(1,('射擊表'!$A$2:$A$500=7)*('射擊表'!$B$2:$B$500=S26),0)),NA())</f>
      </c>
      <c r="V26">
        <f t="array" ref="V26">IFERROR(SMALL(IF('射擊表'!$A$2:$A$500=8,'射擊表'!$B$2:$B$500),25),NA())</f>
      </c>
      <c r="W26">
        <f t="array" ref="W26">IFERROR(INDEX('射擊表'!$C$2:$C$500,MATCH(1,('射擊表'!$A$2:$A$500=8)*('射擊表'!$B$2:$B$500=V26),0)),NA())</f>
      </c>
      <c r="X26">
        <f t="array" ref="X26">IFERROR(INDEX('射擊表'!$D$2:$D$500,MATCH(1,('射擊表'!$A$2:$A$500=8)*('射擊表'!$B$2:$B$500=V26),0)),NA())</f>
      </c>
      <c r="Y26">
        <f t="array" ref="Y26">IFERROR(SMALL(IF('射擊表'!$A$2:$A$500=9,'射擊表'!$B$2:$B$500),25),NA())</f>
      </c>
      <c r="Z26">
        <f t="array" ref="Z26">IFERROR(INDEX('射擊表'!$C$2:$C$500,MATCH(1,('射擊表'!$A$2:$A$500=9)*('射擊表'!$B$2:$B$500=Y26),0)),NA())</f>
      </c>
      <c r="AA26">
        <f t="array" ref="AA26">IFERROR(INDEX('射擊表'!$D$2:$D$500,MATCH(1,('射擊表'!$A$2:$A$500=9)*('射擊表'!$B$2:$B$500=Y26),0)),NA())</f>
      </c>
    </row>
    <row r="27">
      <c r="A27">
        <f t="array" ref="A27">IFERROR(SMALL(IF('射擊表'!$A$2:$A$500=1,'射擊表'!$B$2:$B$500),26),NA())</f>
      </c>
      <c r="B27">
        <f t="array" ref="B27">IFERROR(INDEX('射擊表'!$C$2:$C$500,MATCH(1,('射擊表'!$A$2:$A$500=1)*('射擊表'!$B$2:$B$500=A27),0)),NA())</f>
      </c>
      <c r="C27">
        <f t="array" ref="C27">IFERROR(INDEX('射擊表'!$D$2:$D$500,MATCH(1,('射擊表'!$A$2:$A$500=1)*('射擊表'!$B$2:$B$500=A27),0)),NA())</f>
      </c>
      <c r="D27">
        <f t="array" ref="D27">IFERROR(SMALL(IF('射擊表'!$A$2:$A$500=2,'射擊表'!$B$2:$B$500),26),NA())</f>
      </c>
      <c r="E27">
        <f t="array" ref="E27">IFERROR(INDEX('射擊表'!$C$2:$C$500,MATCH(1,('射擊表'!$A$2:$A$500=2)*('射擊表'!$B$2:$B$500=D27),0)),NA())</f>
      </c>
      <c r="F27">
        <f t="array" ref="F27">IFERROR(INDEX('射擊表'!$D$2:$D$500,MATCH(1,('射擊表'!$A$2:$A$500=2)*('射擊表'!$B$2:$B$500=D27),0)),NA())</f>
      </c>
      <c r="G27">
        <f t="array" ref="G27">IFERROR(SMALL(IF('射擊表'!$A$2:$A$500=3,'射擊表'!$B$2:$B$500),26),NA())</f>
      </c>
      <c r="H27">
        <f t="array" ref="H27">IFERROR(INDEX('射擊表'!$C$2:$C$500,MATCH(1,('射擊表'!$A$2:$A$500=3)*('射擊表'!$B$2:$B$500=G27),0)),NA())</f>
      </c>
      <c r="I27">
        <f t="array" ref="I27">IFERROR(INDEX('射擊表'!$D$2:$D$500,MATCH(1,('射擊表'!$A$2:$A$500=3)*('射擊表'!$B$2:$B$500=G27),0)),NA())</f>
      </c>
      <c r="J27">
        <f t="array" ref="J27">IFERROR(SMALL(IF('射擊表'!$A$2:$A$500=4,'射擊表'!$B$2:$B$500),26),NA())</f>
      </c>
      <c r="K27">
        <f t="array" ref="K27">IFERROR(INDEX('射擊表'!$C$2:$C$500,MATCH(1,('射擊表'!$A$2:$A$500=4)*('射擊表'!$B$2:$B$500=J27),0)),NA())</f>
      </c>
      <c r="L27">
        <f t="array" ref="L27">IFERROR(INDEX('射擊表'!$D$2:$D$500,MATCH(1,('射擊表'!$A$2:$A$500=4)*('射擊表'!$B$2:$B$500=J27),0)),NA())</f>
      </c>
      <c r="M27">
        <f t="array" ref="M27">IFERROR(SMALL(IF('射擊表'!$A$2:$A$500=5,'射擊表'!$B$2:$B$500),26),NA())</f>
      </c>
      <c r="N27">
        <f t="array" ref="N27">IFERROR(INDEX('射擊表'!$C$2:$C$500,MATCH(1,('射擊表'!$A$2:$A$500=5)*('射擊表'!$B$2:$B$500=M27),0)),NA())</f>
      </c>
      <c r="O27">
        <f t="array" ref="O27">IFERROR(INDEX('射擊表'!$D$2:$D$500,MATCH(1,('射擊表'!$A$2:$A$500=5)*('射擊表'!$B$2:$B$500=M27),0)),NA())</f>
      </c>
      <c r="P27">
        <f t="array" ref="P27">IFERROR(SMALL(IF('射擊表'!$A$2:$A$500=6,'射擊表'!$B$2:$B$500),26),NA())</f>
      </c>
      <c r="Q27">
        <f t="array" ref="Q27">IFERROR(INDEX('射擊表'!$C$2:$C$500,MATCH(1,('射擊表'!$A$2:$A$500=6)*('射擊表'!$B$2:$B$500=P27),0)),NA())</f>
      </c>
      <c r="R27">
        <f t="array" ref="R27">IFERROR(INDEX('射擊表'!$D$2:$D$500,MATCH(1,('射擊表'!$A$2:$A$500=6)*('射擊表'!$B$2:$B$500=P27),0)),NA())</f>
      </c>
      <c r="S27">
        <f t="array" ref="S27">IFERROR(SMALL(IF('射擊表'!$A$2:$A$500=7,'射擊表'!$B$2:$B$500),26),NA())</f>
      </c>
      <c r="T27">
        <f t="array" ref="T27">IFERROR(INDEX('射擊表'!$C$2:$C$500,MATCH(1,('射擊表'!$A$2:$A$500=7)*('射擊表'!$B$2:$B$500=S27),0)),NA())</f>
      </c>
      <c r="U27">
        <f t="array" ref="U27">IFERROR(INDEX('射擊表'!$D$2:$D$500,MATCH(1,('射擊表'!$A$2:$A$500=7)*('射擊表'!$B$2:$B$500=S27),0)),NA())</f>
      </c>
      <c r="V27">
        <f t="array" ref="V27">IFERROR(SMALL(IF('射擊表'!$A$2:$A$500=8,'射擊表'!$B$2:$B$500),26),NA())</f>
      </c>
      <c r="W27">
        <f t="array" ref="W27">IFERROR(INDEX('射擊表'!$C$2:$C$500,MATCH(1,('射擊表'!$A$2:$A$500=8)*('射擊表'!$B$2:$B$500=V27),0)),NA())</f>
      </c>
      <c r="X27">
        <f t="array" ref="X27">IFERROR(INDEX('射擊表'!$D$2:$D$500,MATCH(1,('射擊表'!$A$2:$A$500=8)*('射擊表'!$B$2:$B$500=V27),0)),NA())</f>
      </c>
      <c r="Y27">
        <f t="array" ref="Y27">IFERROR(SMALL(IF('射擊表'!$A$2:$A$500=9,'射擊表'!$B$2:$B$500),26),NA())</f>
      </c>
      <c r="Z27">
        <f t="array" ref="Z27">IFERROR(INDEX('射擊表'!$C$2:$C$500,MATCH(1,('射擊表'!$A$2:$A$500=9)*('射擊表'!$B$2:$B$500=Y27),0)),NA())</f>
      </c>
      <c r="AA27">
        <f t="array" ref="AA27">IFERROR(INDEX('射擊表'!$D$2:$D$500,MATCH(1,('射擊表'!$A$2:$A$500=9)*('射擊表'!$B$2:$B$500=Y27),0)),NA())</f>
      </c>
    </row>
    <row r="28">
      <c r="A28">
        <f t="array" ref="A28">IFERROR(SMALL(IF('射擊表'!$A$2:$A$500=1,'射擊表'!$B$2:$B$500),27),NA())</f>
      </c>
      <c r="B28">
        <f t="array" ref="B28">IFERROR(INDEX('射擊表'!$C$2:$C$500,MATCH(1,('射擊表'!$A$2:$A$500=1)*('射擊表'!$B$2:$B$500=A28),0)),NA())</f>
      </c>
      <c r="C28">
        <f t="array" ref="C28">IFERROR(INDEX('射擊表'!$D$2:$D$500,MATCH(1,('射擊表'!$A$2:$A$500=1)*('射擊表'!$B$2:$B$500=A28),0)),NA())</f>
      </c>
      <c r="D28">
        <f t="array" ref="D28">IFERROR(SMALL(IF('射擊表'!$A$2:$A$500=2,'射擊表'!$B$2:$B$500),27),NA())</f>
      </c>
      <c r="E28">
        <f t="array" ref="E28">IFERROR(INDEX('射擊表'!$C$2:$C$500,MATCH(1,('射擊表'!$A$2:$A$500=2)*('射擊表'!$B$2:$B$500=D28),0)),NA())</f>
      </c>
      <c r="F28">
        <f t="array" ref="F28">IFERROR(INDEX('射擊表'!$D$2:$D$500,MATCH(1,('射擊表'!$A$2:$A$500=2)*('射擊表'!$B$2:$B$500=D28),0)),NA())</f>
      </c>
      <c r="G28">
        <f t="array" ref="G28">IFERROR(SMALL(IF('射擊表'!$A$2:$A$500=3,'射擊表'!$B$2:$B$500),27),NA())</f>
      </c>
      <c r="H28">
        <f t="array" ref="H28">IFERROR(INDEX('射擊表'!$C$2:$C$500,MATCH(1,('射擊表'!$A$2:$A$500=3)*('射擊表'!$B$2:$B$500=G28),0)),NA())</f>
      </c>
      <c r="I28">
        <f t="array" ref="I28">IFERROR(INDEX('射擊表'!$D$2:$D$500,MATCH(1,('射擊表'!$A$2:$A$500=3)*('射擊表'!$B$2:$B$500=G28),0)),NA())</f>
      </c>
      <c r="J28">
        <f t="array" ref="J28">IFERROR(SMALL(IF('射擊表'!$A$2:$A$500=4,'射擊表'!$B$2:$B$500),27),NA())</f>
      </c>
      <c r="K28">
        <f t="array" ref="K28">IFERROR(INDEX('射擊表'!$C$2:$C$500,MATCH(1,('射擊表'!$A$2:$A$500=4)*('射擊表'!$B$2:$B$500=J28),0)),NA())</f>
      </c>
      <c r="L28">
        <f t="array" ref="L28">IFERROR(INDEX('射擊表'!$D$2:$D$500,MATCH(1,('射擊表'!$A$2:$A$500=4)*('射擊表'!$B$2:$B$500=J28),0)),NA())</f>
      </c>
      <c r="M28">
        <f t="array" ref="M28">IFERROR(SMALL(IF('射擊表'!$A$2:$A$500=5,'射擊表'!$B$2:$B$500),27),NA())</f>
      </c>
      <c r="N28">
        <f t="array" ref="N28">IFERROR(INDEX('射擊表'!$C$2:$C$500,MATCH(1,('射擊表'!$A$2:$A$500=5)*('射擊表'!$B$2:$B$500=M28),0)),NA())</f>
      </c>
      <c r="O28">
        <f t="array" ref="O28">IFERROR(INDEX('射擊表'!$D$2:$D$500,MATCH(1,('射擊表'!$A$2:$A$500=5)*('射擊表'!$B$2:$B$500=M28),0)),NA())</f>
      </c>
      <c r="P28">
        <f t="array" ref="P28">IFERROR(SMALL(IF('射擊表'!$A$2:$A$500=6,'射擊表'!$B$2:$B$500),27),NA())</f>
      </c>
      <c r="Q28">
        <f t="array" ref="Q28">IFERROR(INDEX('射擊表'!$C$2:$C$500,MATCH(1,('射擊表'!$A$2:$A$500=6)*('射擊表'!$B$2:$B$500=P28),0)),NA())</f>
      </c>
      <c r="R28">
        <f t="array" ref="R28">IFERROR(INDEX('射擊表'!$D$2:$D$500,MATCH(1,('射擊表'!$A$2:$A$500=6)*('射擊表'!$B$2:$B$500=P28),0)),NA())</f>
      </c>
      <c r="S28">
        <f t="array" ref="S28">IFERROR(SMALL(IF('射擊表'!$A$2:$A$500=7,'射擊表'!$B$2:$B$500),27),NA())</f>
      </c>
      <c r="T28">
        <f t="array" ref="T28">IFERROR(INDEX('射擊表'!$C$2:$C$500,MATCH(1,('射擊表'!$A$2:$A$500=7)*('射擊表'!$B$2:$B$500=S28),0)),NA())</f>
      </c>
      <c r="U28">
        <f t="array" ref="U28">IFERROR(INDEX('射擊表'!$D$2:$D$500,MATCH(1,('射擊表'!$A$2:$A$500=7)*('射擊表'!$B$2:$B$500=S28),0)),NA())</f>
      </c>
      <c r="V28">
        <f t="array" ref="V28">IFERROR(SMALL(IF('射擊表'!$A$2:$A$500=8,'射擊表'!$B$2:$B$500),27),NA())</f>
      </c>
      <c r="W28">
        <f t="array" ref="W28">IFERROR(INDEX('射擊表'!$C$2:$C$500,MATCH(1,('射擊表'!$A$2:$A$500=8)*('射擊表'!$B$2:$B$500=V28),0)),NA())</f>
      </c>
      <c r="X28">
        <f t="array" ref="X28">IFERROR(INDEX('射擊表'!$D$2:$D$500,MATCH(1,('射擊表'!$A$2:$A$500=8)*('射擊表'!$B$2:$B$500=V28),0)),NA())</f>
      </c>
      <c r="Y28">
        <f t="array" ref="Y28">IFERROR(SMALL(IF('射擊表'!$A$2:$A$500=9,'射擊表'!$B$2:$B$500),27),NA())</f>
      </c>
      <c r="Z28">
        <f t="array" ref="Z28">IFERROR(INDEX('射擊表'!$C$2:$C$500,MATCH(1,('射擊表'!$A$2:$A$500=9)*('射擊表'!$B$2:$B$500=Y28),0)),NA())</f>
      </c>
      <c r="AA28">
        <f t="array" ref="AA28">IFERROR(INDEX('射擊表'!$D$2:$D$500,MATCH(1,('射擊表'!$A$2:$A$500=9)*('射擊表'!$B$2:$B$500=Y28),0)),NA())</f>
      </c>
    </row>
    <row r="29">
      <c r="A29">
        <f t="array" ref="A29">IFERROR(SMALL(IF('射擊表'!$A$2:$A$500=1,'射擊表'!$B$2:$B$500),28),NA())</f>
      </c>
      <c r="B29">
        <f t="array" ref="B29">IFERROR(INDEX('射擊表'!$C$2:$C$500,MATCH(1,('射擊表'!$A$2:$A$500=1)*('射擊表'!$B$2:$B$500=A29),0)),NA())</f>
      </c>
      <c r="C29">
        <f t="array" ref="C29">IFERROR(INDEX('射擊表'!$D$2:$D$500,MATCH(1,('射擊表'!$A$2:$A$500=1)*('射擊表'!$B$2:$B$500=A29),0)),NA())</f>
      </c>
      <c r="D29">
        <f t="array" ref="D29">IFERROR(SMALL(IF('射擊表'!$A$2:$A$500=2,'射擊表'!$B$2:$B$500),28),NA())</f>
      </c>
      <c r="E29">
        <f t="array" ref="E29">IFERROR(INDEX('射擊表'!$C$2:$C$500,MATCH(1,('射擊表'!$A$2:$A$500=2)*('射擊表'!$B$2:$B$500=D29),0)),NA())</f>
      </c>
      <c r="F29">
        <f t="array" ref="F29">IFERROR(INDEX('射擊表'!$D$2:$D$500,MATCH(1,('射擊表'!$A$2:$A$500=2)*('射擊表'!$B$2:$B$500=D29),0)),NA())</f>
      </c>
      <c r="G29">
        <f t="array" ref="G29">IFERROR(SMALL(IF('射擊表'!$A$2:$A$500=3,'射擊表'!$B$2:$B$500),28),NA())</f>
      </c>
      <c r="H29">
        <f t="array" ref="H29">IFERROR(INDEX('射擊表'!$C$2:$C$500,MATCH(1,('射擊表'!$A$2:$A$500=3)*('射擊表'!$B$2:$B$500=G29),0)),NA())</f>
      </c>
      <c r="I29">
        <f t="array" ref="I29">IFERROR(INDEX('射擊表'!$D$2:$D$500,MATCH(1,('射擊表'!$A$2:$A$500=3)*('射擊表'!$B$2:$B$500=G29),0)),NA())</f>
      </c>
      <c r="J29">
        <f t="array" ref="J29">IFERROR(SMALL(IF('射擊表'!$A$2:$A$500=4,'射擊表'!$B$2:$B$500),28),NA())</f>
      </c>
      <c r="K29">
        <f t="array" ref="K29">IFERROR(INDEX('射擊表'!$C$2:$C$500,MATCH(1,('射擊表'!$A$2:$A$500=4)*('射擊表'!$B$2:$B$500=J29),0)),NA())</f>
      </c>
      <c r="L29">
        <f t="array" ref="L29">IFERROR(INDEX('射擊表'!$D$2:$D$500,MATCH(1,('射擊表'!$A$2:$A$500=4)*('射擊表'!$B$2:$B$500=J29),0)),NA())</f>
      </c>
      <c r="M29">
        <f t="array" ref="M29">IFERROR(SMALL(IF('射擊表'!$A$2:$A$500=5,'射擊表'!$B$2:$B$500),28),NA())</f>
      </c>
      <c r="N29">
        <f t="array" ref="N29">IFERROR(INDEX('射擊表'!$C$2:$C$500,MATCH(1,('射擊表'!$A$2:$A$500=5)*('射擊表'!$B$2:$B$500=M29),0)),NA())</f>
      </c>
      <c r="O29">
        <f t="array" ref="O29">IFERROR(INDEX('射擊表'!$D$2:$D$500,MATCH(1,('射擊表'!$A$2:$A$500=5)*('射擊表'!$B$2:$B$500=M29),0)),NA())</f>
      </c>
      <c r="P29">
        <f t="array" ref="P29">IFERROR(SMALL(IF('射擊表'!$A$2:$A$500=6,'射擊表'!$B$2:$B$500),28),NA())</f>
      </c>
      <c r="Q29">
        <f t="array" ref="Q29">IFERROR(INDEX('射擊表'!$C$2:$C$500,MATCH(1,('射擊表'!$A$2:$A$500=6)*('射擊表'!$B$2:$B$500=P29),0)),NA())</f>
      </c>
      <c r="R29">
        <f t="array" ref="R29">IFERROR(INDEX('射擊表'!$D$2:$D$500,MATCH(1,('射擊表'!$A$2:$A$500=6)*('射擊表'!$B$2:$B$500=P29),0)),NA())</f>
      </c>
      <c r="S29">
        <f t="array" ref="S29">IFERROR(SMALL(IF('射擊表'!$A$2:$A$500=7,'射擊表'!$B$2:$B$500),28),NA())</f>
      </c>
      <c r="T29">
        <f t="array" ref="T29">IFERROR(INDEX('射擊表'!$C$2:$C$500,MATCH(1,('射擊表'!$A$2:$A$500=7)*('射擊表'!$B$2:$B$500=S29),0)),NA())</f>
      </c>
      <c r="U29">
        <f t="array" ref="U29">IFERROR(INDEX('射擊表'!$D$2:$D$500,MATCH(1,('射擊表'!$A$2:$A$500=7)*('射擊表'!$B$2:$B$500=S29),0)),NA())</f>
      </c>
      <c r="V29">
        <f t="array" ref="V29">IFERROR(SMALL(IF('射擊表'!$A$2:$A$500=8,'射擊表'!$B$2:$B$500),28),NA())</f>
      </c>
      <c r="W29">
        <f t="array" ref="W29">IFERROR(INDEX('射擊表'!$C$2:$C$500,MATCH(1,('射擊表'!$A$2:$A$500=8)*('射擊表'!$B$2:$B$500=V29),0)),NA())</f>
      </c>
      <c r="X29">
        <f t="array" ref="X29">IFERROR(INDEX('射擊表'!$D$2:$D$500,MATCH(1,('射擊表'!$A$2:$A$500=8)*('射擊表'!$B$2:$B$500=V29),0)),NA())</f>
      </c>
      <c r="Y29">
        <f t="array" ref="Y29">IFERROR(SMALL(IF('射擊表'!$A$2:$A$500=9,'射擊表'!$B$2:$B$500),28),NA())</f>
      </c>
      <c r="Z29">
        <f t="array" ref="Z29">IFERROR(INDEX('射擊表'!$C$2:$C$500,MATCH(1,('射擊表'!$A$2:$A$500=9)*('射擊表'!$B$2:$B$500=Y29),0)),NA())</f>
      </c>
      <c r="AA29">
        <f t="array" ref="AA29">IFERROR(INDEX('射擊表'!$D$2:$D$500,MATCH(1,('射擊表'!$A$2:$A$500=9)*('射擊表'!$B$2:$B$500=Y29),0)),NA())</f>
      </c>
    </row>
    <row r="30">
      <c r="A30">
        <f t="array" ref="A30">IFERROR(SMALL(IF('射擊表'!$A$2:$A$500=1,'射擊表'!$B$2:$B$500),29),NA())</f>
      </c>
      <c r="B30">
        <f t="array" ref="B30">IFERROR(INDEX('射擊表'!$C$2:$C$500,MATCH(1,('射擊表'!$A$2:$A$500=1)*('射擊表'!$B$2:$B$500=A30),0)),NA())</f>
      </c>
      <c r="C30">
        <f t="array" ref="C30">IFERROR(INDEX('射擊表'!$D$2:$D$500,MATCH(1,('射擊表'!$A$2:$A$500=1)*('射擊表'!$B$2:$B$500=A30),0)),NA())</f>
      </c>
      <c r="D30">
        <f t="array" ref="D30">IFERROR(SMALL(IF('射擊表'!$A$2:$A$500=2,'射擊表'!$B$2:$B$500),29),NA())</f>
      </c>
      <c r="E30">
        <f t="array" ref="E30">IFERROR(INDEX('射擊表'!$C$2:$C$500,MATCH(1,('射擊表'!$A$2:$A$500=2)*('射擊表'!$B$2:$B$500=D30),0)),NA())</f>
      </c>
      <c r="F30">
        <f t="array" ref="F30">IFERROR(INDEX('射擊表'!$D$2:$D$500,MATCH(1,('射擊表'!$A$2:$A$500=2)*('射擊表'!$B$2:$B$500=D30),0)),NA())</f>
      </c>
      <c r="G30">
        <f t="array" ref="G30">IFERROR(SMALL(IF('射擊表'!$A$2:$A$500=3,'射擊表'!$B$2:$B$500),29),NA())</f>
      </c>
      <c r="H30">
        <f t="array" ref="H30">IFERROR(INDEX('射擊表'!$C$2:$C$500,MATCH(1,('射擊表'!$A$2:$A$500=3)*('射擊表'!$B$2:$B$500=G30),0)),NA())</f>
      </c>
      <c r="I30">
        <f t="array" ref="I30">IFERROR(INDEX('射擊表'!$D$2:$D$500,MATCH(1,('射擊表'!$A$2:$A$500=3)*('射擊表'!$B$2:$B$500=G30),0)),NA())</f>
      </c>
      <c r="J30">
        <f t="array" ref="J30">IFERROR(SMALL(IF('射擊表'!$A$2:$A$500=4,'射擊表'!$B$2:$B$500),29),NA())</f>
      </c>
      <c r="K30">
        <f t="array" ref="K30">IFERROR(INDEX('射擊表'!$C$2:$C$500,MATCH(1,('射擊表'!$A$2:$A$500=4)*('射擊表'!$B$2:$B$500=J30),0)),NA())</f>
      </c>
      <c r="L30">
        <f t="array" ref="L30">IFERROR(INDEX('射擊表'!$D$2:$D$500,MATCH(1,('射擊表'!$A$2:$A$500=4)*('射擊表'!$B$2:$B$500=J30),0)),NA())</f>
      </c>
      <c r="M30">
        <f t="array" ref="M30">IFERROR(SMALL(IF('射擊表'!$A$2:$A$500=5,'射擊表'!$B$2:$B$500),29),NA())</f>
      </c>
      <c r="N30">
        <f t="array" ref="N30">IFERROR(INDEX('射擊表'!$C$2:$C$500,MATCH(1,('射擊表'!$A$2:$A$500=5)*('射擊表'!$B$2:$B$500=M30),0)),NA())</f>
      </c>
      <c r="O30">
        <f t="array" ref="O30">IFERROR(INDEX('射擊表'!$D$2:$D$500,MATCH(1,('射擊表'!$A$2:$A$500=5)*('射擊表'!$B$2:$B$500=M30),0)),NA())</f>
      </c>
      <c r="P30">
        <f t="array" ref="P30">IFERROR(SMALL(IF('射擊表'!$A$2:$A$500=6,'射擊表'!$B$2:$B$500),29),NA())</f>
      </c>
      <c r="Q30">
        <f t="array" ref="Q30">IFERROR(INDEX('射擊表'!$C$2:$C$500,MATCH(1,('射擊表'!$A$2:$A$500=6)*('射擊表'!$B$2:$B$500=P30),0)),NA())</f>
      </c>
      <c r="R30">
        <f t="array" ref="R30">IFERROR(INDEX('射擊表'!$D$2:$D$500,MATCH(1,('射擊表'!$A$2:$A$500=6)*('射擊表'!$B$2:$B$500=P30),0)),NA())</f>
      </c>
      <c r="S30">
        <f t="array" ref="S30">IFERROR(SMALL(IF('射擊表'!$A$2:$A$500=7,'射擊表'!$B$2:$B$500),29),NA())</f>
      </c>
      <c r="T30">
        <f t="array" ref="T30">IFERROR(INDEX('射擊表'!$C$2:$C$500,MATCH(1,('射擊表'!$A$2:$A$500=7)*('射擊表'!$B$2:$B$500=S30),0)),NA())</f>
      </c>
      <c r="U30">
        <f t="array" ref="U30">IFERROR(INDEX('射擊表'!$D$2:$D$500,MATCH(1,('射擊表'!$A$2:$A$500=7)*('射擊表'!$B$2:$B$500=S30),0)),NA())</f>
      </c>
      <c r="V30">
        <f t="array" ref="V30">IFERROR(SMALL(IF('射擊表'!$A$2:$A$500=8,'射擊表'!$B$2:$B$500),29),NA())</f>
      </c>
      <c r="W30">
        <f t="array" ref="W30">IFERROR(INDEX('射擊表'!$C$2:$C$500,MATCH(1,('射擊表'!$A$2:$A$500=8)*('射擊表'!$B$2:$B$500=V30),0)),NA())</f>
      </c>
      <c r="X30">
        <f t="array" ref="X30">IFERROR(INDEX('射擊表'!$D$2:$D$500,MATCH(1,('射擊表'!$A$2:$A$500=8)*('射擊表'!$B$2:$B$500=V30),0)),NA())</f>
      </c>
      <c r="Y30">
        <f t="array" ref="Y30">IFERROR(SMALL(IF('射擊表'!$A$2:$A$500=9,'射擊表'!$B$2:$B$500),29),NA())</f>
      </c>
      <c r="Z30">
        <f t="array" ref="Z30">IFERROR(INDEX('射擊表'!$C$2:$C$500,MATCH(1,('射擊表'!$A$2:$A$500=9)*('射擊表'!$B$2:$B$500=Y30),0)),NA())</f>
      </c>
      <c r="AA30">
        <f t="array" ref="AA30">IFERROR(INDEX('射擊表'!$D$2:$D$500,MATCH(1,('射擊表'!$A$2:$A$500=9)*('射擊表'!$B$2:$B$500=Y30),0)),NA())</f>
      </c>
    </row>
    <row r="31">
      <c r="A31">
        <f t="array" ref="A31">IFERROR(SMALL(IF('射擊表'!$A$2:$A$500=1,'射擊表'!$B$2:$B$500),30),NA())</f>
      </c>
      <c r="B31">
        <f t="array" ref="B31">IFERROR(INDEX('射擊表'!$C$2:$C$500,MATCH(1,('射擊表'!$A$2:$A$500=1)*('射擊表'!$B$2:$B$500=A31),0)),NA())</f>
      </c>
      <c r="C31">
        <f t="array" ref="C31">IFERROR(INDEX('射擊表'!$D$2:$D$500,MATCH(1,('射擊表'!$A$2:$A$500=1)*('射擊表'!$B$2:$B$500=A31),0)),NA())</f>
      </c>
      <c r="D31">
        <f t="array" ref="D31">IFERROR(SMALL(IF('射擊表'!$A$2:$A$500=2,'射擊表'!$B$2:$B$500),30),NA())</f>
      </c>
      <c r="E31">
        <f t="array" ref="E31">IFERROR(INDEX('射擊表'!$C$2:$C$500,MATCH(1,('射擊表'!$A$2:$A$500=2)*('射擊表'!$B$2:$B$500=D31),0)),NA())</f>
      </c>
      <c r="F31">
        <f t="array" ref="F31">IFERROR(INDEX('射擊表'!$D$2:$D$500,MATCH(1,('射擊表'!$A$2:$A$500=2)*('射擊表'!$B$2:$B$500=D31),0)),NA())</f>
      </c>
      <c r="G31">
        <f t="array" ref="G31">IFERROR(SMALL(IF('射擊表'!$A$2:$A$500=3,'射擊表'!$B$2:$B$500),30),NA())</f>
      </c>
      <c r="H31">
        <f t="array" ref="H31">IFERROR(INDEX('射擊表'!$C$2:$C$500,MATCH(1,('射擊表'!$A$2:$A$500=3)*('射擊表'!$B$2:$B$500=G31),0)),NA())</f>
      </c>
      <c r="I31">
        <f t="array" ref="I31">IFERROR(INDEX('射擊表'!$D$2:$D$500,MATCH(1,('射擊表'!$A$2:$A$500=3)*('射擊表'!$B$2:$B$500=G31),0)),NA())</f>
      </c>
      <c r="J31">
        <f t="array" ref="J31">IFERROR(SMALL(IF('射擊表'!$A$2:$A$500=4,'射擊表'!$B$2:$B$500),30),NA())</f>
      </c>
      <c r="K31">
        <f t="array" ref="K31">IFERROR(INDEX('射擊表'!$C$2:$C$500,MATCH(1,('射擊表'!$A$2:$A$500=4)*('射擊表'!$B$2:$B$500=J31),0)),NA())</f>
      </c>
      <c r="L31">
        <f t="array" ref="L31">IFERROR(INDEX('射擊表'!$D$2:$D$500,MATCH(1,('射擊表'!$A$2:$A$500=4)*('射擊表'!$B$2:$B$500=J31),0)),NA())</f>
      </c>
      <c r="M31">
        <f t="array" ref="M31">IFERROR(SMALL(IF('射擊表'!$A$2:$A$500=5,'射擊表'!$B$2:$B$500),30),NA())</f>
      </c>
      <c r="N31">
        <f t="array" ref="N31">IFERROR(INDEX('射擊表'!$C$2:$C$500,MATCH(1,('射擊表'!$A$2:$A$500=5)*('射擊表'!$B$2:$B$500=M31),0)),NA())</f>
      </c>
      <c r="O31">
        <f t="array" ref="O31">IFERROR(INDEX('射擊表'!$D$2:$D$500,MATCH(1,('射擊表'!$A$2:$A$500=5)*('射擊表'!$B$2:$B$500=M31),0)),NA())</f>
      </c>
      <c r="P31">
        <f t="array" ref="P31">IFERROR(SMALL(IF('射擊表'!$A$2:$A$500=6,'射擊表'!$B$2:$B$500),30),NA())</f>
      </c>
      <c r="Q31">
        <f t="array" ref="Q31">IFERROR(INDEX('射擊表'!$C$2:$C$500,MATCH(1,('射擊表'!$A$2:$A$500=6)*('射擊表'!$B$2:$B$500=P31),0)),NA())</f>
      </c>
      <c r="R31">
        <f t="array" ref="R31">IFERROR(INDEX('射擊表'!$D$2:$D$500,MATCH(1,('射擊表'!$A$2:$A$500=6)*('射擊表'!$B$2:$B$500=P31),0)),NA())</f>
      </c>
      <c r="S31">
        <f t="array" ref="S31">IFERROR(SMALL(IF('射擊表'!$A$2:$A$500=7,'射擊表'!$B$2:$B$500),30),NA())</f>
      </c>
      <c r="T31">
        <f t="array" ref="T31">IFERROR(INDEX('射擊表'!$C$2:$C$500,MATCH(1,('射擊表'!$A$2:$A$500=7)*('射擊表'!$B$2:$B$500=S31),0)),NA())</f>
      </c>
      <c r="U31">
        <f t="array" ref="U31">IFERROR(INDEX('射擊表'!$D$2:$D$500,MATCH(1,('射擊表'!$A$2:$A$500=7)*('射擊表'!$B$2:$B$500=S31),0)),NA())</f>
      </c>
      <c r="V31">
        <f t="array" ref="V31">IFERROR(SMALL(IF('射擊表'!$A$2:$A$500=8,'射擊表'!$B$2:$B$500),30),NA())</f>
      </c>
      <c r="W31">
        <f t="array" ref="W31">IFERROR(INDEX('射擊表'!$C$2:$C$500,MATCH(1,('射擊表'!$A$2:$A$500=8)*('射擊表'!$B$2:$B$500=V31),0)),NA())</f>
      </c>
      <c r="X31">
        <f t="array" ref="X31">IFERROR(INDEX('射擊表'!$D$2:$D$500,MATCH(1,('射擊表'!$A$2:$A$500=8)*('射擊表'!$B$2:$B$500=V31),0)),NA())</f>
      </c>
      <c r="Y31">
        <f t="array" ref="Y31">IFERROR(SMALL(IF('射擊表'!$A$2:$A$500=9,'射擊表'!$B$2:$B$500),30),NA())</f>
      </c>
      <c r="Z31">
        <f t="array" ref="Z31">IFERROR(INDEX('射擊表'!$C$2:$C$500,MATCH(1,('射擊表'!$A$2:$A$500=9)*('射擊表'!$B$2:$B$500=Y31),0)),NA())</f>
      </c>
      <c r="AA31">
        <f t="array" ref="AA31">IFERROR(INDEX('射擊表'!$D$2:$D$500,MATCH(1,('射擊表'!$A$2:$A$500=9)*('射擊表'!$B$2:$B$500=Y31),0)),NA())</f>
      </c>
    </row>
    <row r="32">
      <c r="A32">
        <f t="array" ref="A32">IFERROR(SMALL(IF('射擊表'!$A$2:$A$500=1,'射擊表'!$B$2:$B$500),31),NA())</f>
      </c>
      <c r="B32">
        <f t="array" ref="B32">IFERROR(INDEX('射擊表'!$C$2:$C$500,MATCH(1,('射擊表'!$A$2:$A$500=1)*('射擊表'!$B$2:$B$500=A32),0)),NA())</f>
      </c>
      <c r="C32">
        <f t="array" ref="C32">IFERROR(INDEX('射擊表'!$D$2:$D$500,MATCH(1,('射擊表'!$A$2:$A$500=1)*('射擊表'!$B$2:$B$500=A32),0)),NA())</f>
      </c>
      <c r="D32">
        <f t="array" ref="D32">IFERROR(SMALL(IF('射擊表'!$A$2:$A$500=2,'射擊表'!$B$2:$B$500),31),NA())</f>
      </c>
      <c r="E32">
        <f t="array" ref="E32">IFERROR(INDEX('射擊表'!$C$2:$C$500,MATCH(1,('射擊表'!$A$2:$A$500=2)*('射擊表'!$B$2:$B$500=D32),0)),NA())</f>
      </c>
      <c r="F32">
        <f t="array" ref="F32">IFERROR(INDEX('射擊表'!$D$2:$D$500,MATCH(1,('射擊表'!$A$2:$A$500=2)*('射擊表'!$B$2:$B$500=D32),0)),NA())</f>
      </c>
      <c r="G32">
        <f t="array" ref="G32">IFERROR(SMALL(IF('射擊表'!$A$2:$A$500=3,'射擊表'!$B$2:$B$500),31),NA())</f>
      </c>
      <c r="H32">
        <f t="array" ref="H32">IFERROR(INDEX('射擊表'!$C$2:$C$500,MATCH(1,('射擊表'!$A$2:$A$500=3)*('射擊表'!$B$2:$B$500=G32),0)),NA())</f>
      </c>
      <c r="I32">
        <f t="array" ref="I32">IFERROR(INDEX('射擊表'!$D$2:$D$500,MATCH(1,('射擊表'!$A$2:$A$500=3)*('射擊表'!$B$2:$B$500=G32),0)),NA())</f>
      </c>
      <c r="J32">
        <f t="array" ref="J32">IFERROR(SMALL(IF('射擊表'!$A$2:$A$500=4,'射擊表'!$B$2:$B$500),31),NA())</f>
      </c>
      <c r="K32">
        <f t="array" ref="K32">IFERROR(INDEX('射擊表'!$C$2:$C$500,MATCH(1,('射擊表'!$A$2:$A$500=4)*('射擊表'!$B$2:$B$500=J32),0)),NA())</f>
      </c>
      <c r="L32">
        <f t="array" ref="L32">IFERROR(INDEX('射擊表'!$D$2:$D$500,MATCH(1,('射擊表'!$A$2:$A$500=4)*('射擊表'!$B$2:$B$500=J32),0)),NA())</f>
      </c>
      <c r="M32">
        <f t="array" ref="M32">IFERROR(SMALL(IF('射擊表'!$A$2:$A$500=5,'射擊表'!$B$2:$B$500),31),NA())</f>
      </c>
      <c r="N32">
        <f t="array" ref="N32">IFERROR(INDEX('射擊表'!$C$2:$C$500,MATCH(1,('射擊表'!$A$2:$A$500=5)*('射擊表'!$B$2:$B$500=M32),0)),NA())</f>
      </c>
      <c r="O32">
        <f t="array" ref="O32">IFERROR(INDEX('射擊表'!$D$2:$D$500,MATCH(1,('射擊表'!$A$2:$A$500=5)*('射擊表'!$B$2:$B$500=M32),0)),NA())</f>
      </c>
      <c r="P32">
        <f t="array" ref="P32">IFERROR(SMALL(IF('射擊表'!$A$2:$A$500=6,'射擊表'!$B$2:$B$500),31),NA())</f>
      </c>
      <c r="Q32">
        <f t="array" ref="Q32">IFERROR(INDEX('射擊表'!$C$2:$C$500,MATCH(1,('射擊表'!$A$2:$A$500=6)*('射擊表'!$B$2:$B$500=P32),0)),NA())</f>
      </c>
      <c r="R32">
        <f t="array" ref="R32">IFERROR(INDEX('射擊表'!$D$2:$D$500,MATCH(1,('射擊表'!$A$2:$A$500=6)*('射擊表'!$B$2:$B$500=P32),0)),NA())</f>
      </c>
      <c r="S32">
        <f t="array" ref="S32">IFERROR(SMALL(IF('射擊表'!$A$2:$A$500=7,'射擊表'!$B$2:$B$500),31),NA())</f>
      </c>
      <c r="T32">
        <f t="array" ref="T32">IFERROR(INDEX('射擊表'!$C$2:$C$500,MATCH(1,('射擊表'!$A$2:$A$500=7)*('射擊表'!$B$2:$B$500=S32),0)),NA())</f>
      </c>
      <c r="U32">
        <f t="array" ref="U32">IFERROR(INDEX('射擊表'!$D$2:$D$500,MATCH(1,('射擊表'!$A$2:$A$500=7)*('射擊表'!$B$2:$B$500=S32),0)),NA())</f>
      </c>
      <c r="V32">
        <f t="array" ref="V32">IFERROR(SMALL(IF('射擊表'!$A$2:$A$500=8,'射擊表'!$B$2:$B$500),31),NA())</f>
      </c>
      <c r="W32">
        <f t="array" ref="W32">IFERROR(INDEX('射擊表'!$C$2:$C$500,MATCH(1,('射擊表'!$A$2:$A$500=8)*('射擊表'!$B$2:$B$500=V32),0)),NA())</f>
      </c>
      <c r="X32">
        <f t="array" ref="X32">IFERROR(INDEX('射擊表'!$D$2:$D$500,MATCH(1,('射擊表'!$A$2:$A$500=8)*('射擊表'!$B$2:$B$500=V32),0)),NA())</f>
      </c>
      <c r="Y32">
        <f t="array" ref="Y32">IFERROR(SMALL(IF('射擊表'!$A$2:$A$500=9,'射擊表'!$B$2:$B$500),31),NA())</f>
      </c>
      <c r="Z32">
        <f t="array" ref="Z32">IFERROR(INDEX('射擊表'!$C$2:$C$500,MATCH(1,('射擊表'!$A$2:$A$500=9)*('射擊表'!$B$2:$B$500=Y32),0)),NA())</f>
      </c>
      <c r="AA32">
        <f t="array" ref="AA32">IFERROR(INDEX('射擊表'!$D$2:$D$500,MATCH(1,('射擊表'!$A$2:$A$500=9)*('射擊表'!$B$2:$B$500=Y32),0)),NA())</f>
      </c>
    </row>
    <row r="33">
      <c r="A33">
        <f t="array" ref="A33">IFERROR(SMALL(IF('射擊表'!$A$2:$A$500=1,'射擊表'!$B$2:$B$500),32),NA())</f>
      </c>
      <c r="B33">
        <f t="array" ref="B33">IFERROR(INDEX('射擊表'!$C$2:$C$500,MATCH(1,('射擊表'!$A$2:$A$500=1)*('射擊表'!$B$2:$B$500=A33),0)),NA())</f>
      </c>
      <c r="C33">
        <f t="array" ref="C33">IFERROR(INDEX('射擊表'!$D$2:$D$500,MATCH(1,('射擊表'!$A$2:$A$500=1)*('射擊表'!$B$2:$B$500=A33),0)),NA())</f>
      </c>
      <c r="D33">
        <f t="array" ref="D33">IFERROR(SMALL(IF('射擊表'!$A$2:$A$500=2,'射擊表'!$B$2:$B$500),32),NA())</f>
      </c>
      <c r="E33">
        <f t="array" ref="E33">IFERROR(INDEX('射擊表'!$C$2:$C$500,MATCH(1,('射擊表'!$A$2:$A$500=2)*('射擊表'!$B$2:$B$500=D33),0)),NA())</f>
      </c>
      <c r="F33">
        <f t="array" ref="F33">IFERROR(INDEX('射擊表'!$D$2:$D$500,MATCH(1,('射擊表'!$A$2:$A$500=2)*('射擊表'!$B$2:$B$500=D33),0)),NA())</f>
      </c>
      <c r="G33">
        <f t="array" ref="G33">IFERROR(SMALL(IF('射擊表'!$A$2:$A$500=3,'射擊表'!$B$2:$B$500),32),NA())</f>
      </c>
      <c r="H33">
        <f t="array" ref="H33">IFERROR(INDEX('射擊表'!$C$2:$C$500,MATCH(1,('射擊表'!$A$2:$A$500=3)*('射擊表'!$B$2:$B$500=G33),0)),NA())</f>
      </c>
      <c r="I33">
        <f t="array" ref="I33">IFERROR(INDEX('射擊表'!$D$2:$D$500,MATCH(1,('射擊表'!$A$2:$A$500=3)*('射擊表'!$B$2:$B$500=G33),0)),NA())</f>
      </c>
      <c r="J33">
        <f t="array" ref="J33">IFERROR(SMALL(IF('射擊表'!$A$2:$A$500=4,'射擊表'!$B$2:$B$500),32),NA())</f>
      </c>
      <c r="K33">
        <f t="array" ref="K33">IFERROR(INDEX('射擊表'!$C$2:$C$500,MATCH(1,('射擊表'!$A$2:$A$500=4)*('射擊表'!$B$2:$B$500=J33),0)),NA())</f>
      </c>
      <c r="L33">
        <f t="array" ref="L33">IFERROR(INDEX('射擊表'!$D$2:$D$500,MATCH(1,('射擊表'!$A$2:$A$500=4)*('射擊表'!$B$2:$B$500=J33),0)),NA())</f>
      </c>
      <c r="M33">
        <f t="array" ref="M33">IFERROR(SMALL(IF('射擊表'!$A$2:$A$500=5,'射擊表'!$B$2:$B$500),32),NA())</f>
      </c>
      <c r="N33">
        <f t="array" ref="N33">IFERROR(INDEX('射擊表'!$C$2:$C$500,MATCH(1,('射擊表'!$A$2:$A$500=5)*('射擊表'!$B$2:$B$500=M33),0)),NA())</f>
      </c>
      <c r="O33">
        <f t="array" ref="O33">IFERROR(INDEX('射擊表'!$D$2:$D$500,MATCH(1,('射擊表'!$A$2:$A$500=5)*('射擊表'!$B$2:$B$500=M33),0)),NA())</f>
      </c>
      <c r="P33">
        <f t="array" ref="P33">IFERROR(SMALL(IF('射擊表'!$A$2:$A$500=6,'射擊表'!$B$2:$B$500),32),NA())</f>
      </c>
      <c r="Q33">
        <f t="array" ref="Q33">IFERROR(INDEX('射擊表'!$C$2:$C$500,MATCH(1,('射擊表'!$A$2:$A$500=6)*('射擊表'!$B$2:$B$500=P33),0)),NA())</f>
      </c>
      <c r="R33">
        <f t="array" ref="R33">IFERROR(INDEX('射擊表'!$D$2:$D$500,MATCH(1,('射擊表'!$A$2:$A$500=6)*('射擊表'!$B$2:$B$500=P33),0)),NA())</f>
      </c>
      <c r="S33">
        <f t="array" ref="S33">IFERROR(SMALL(IF('射擊表'!$A$2:$A$500=7,'射擊表'!$B$2:$B$500),32),NA())</f>
      </c>
      <c r="T33">
        <f t="array" ref="T33">IFERROR(INDEX('射擊表'!$C$2:$C$500,MATCH(1,('射擊表'!$A$2:$A$500=7)*('射擊表'!$B$2:$B$500=S33),0)),NA())</f>
      </c>
      <c r="U33">
        <f t="array" ref="U33">IFERROR(INDEX('射擊表'!$D$2:$D$500,MATCH(1,('射擊表'!$A$2:$A$500=7)*('射擊表'!$B$2:$B$500=S33),0)),NA())</f>
      </c>
      <c r="V33">
        <f t="array" ref="V33">IFERROR(SMALL(IF('射擊表'!$A$2:$A$500=8,'射擊表'!$B$2:$B$500),32),NA())</f>
      </c>
      <c r="W33">
        <f t="array" ref="W33">IFERROR(INDEX('射擊表'!$C$2:$C$500,MATCH(1,('射擊表'!$A$2:$A$500=8)*('射擊表'!$B$2:$B$500=V33),0)),NA())</f>
      </c>
      <c r="X33">
        <f t="array" ref="X33">IFERROR(INDEX('射擊表'!$D$2:$D$500,MATCH(1,('射擊表'!$A$2:$A$500=8)*('射擊表'!$B$2:$B$500=V33),0)),NA())</f>
      </c>
      <c r="Y33">
        <f t="array" ref="Y33">IFERROR(SMALL(IF('射擊表'!$A$2:$A$500=9,'射擊表'!$B$2:$B$500),32),NA())</f>
      </c>
      <c r="Z33">
        <f t="array" ref="Z33">IFERROR(INDEX('射擊表'!$C$2:$C$500,MATCH(1,('射擊表'!$A$2:$A$500=9)*('射擊表'!$B$2:$B$500=Y33),0)),NA())</f>
      </c>
      <c r="AA33">
        <f t="array" ref="AA33">IFERROR(INDEX('射擊表'!$D$2:$D$500,MATCH(1,('射擊表'!$A$2:$A$500=9)*('射擊表'!$B$2:$B$500=Y33),0)),NA())</f>
      </c>
    </row>
    <row r="34">
      <c r="A34">
        <f t="array" ref="A34">IFERROR(SMALL(IF('射擊表'!$A$2:$A$500=1,'射擊表'!$B$2:$B$500),33),NA())</f>
      </c>
      <c r="B34">
        <f t="array" ref="B34">IFERROR(INDEX('射擊表'!$C$2:$C$500,MATCH(1,('射擊表'!$A$2:$A$500=1)*('射擊表'!$B$2:$B$500=A34),0)),NA())</f>
      </c>
      <c r="C34">
        <f t="array" ref="C34">IFERROR(INDEX('射擊表'!$D$2:$D$500,MATCH(1,('射擊表'!$A$2:$A$500=1)*('射擊表'!$B$2:$B$500=A34),0)),NA())</f>
      </c>
      <c r="D34">
        <f t="array" ref="D34">IFERROR(SMALL(IF('射擊表'!$A$2:$A$500=2,'射擊表'!$B$2:$B$500),33),NA())</f>
      </c>
      <c r="E34">
        <f t="array" ref="E34">IFERROR(INDEX('射擊表'!$C$2:$C$500,MATCH(1,('射擊表'!$A$2:$A$500=2)*('射擊表'!$B$2:$B$500=D34),0)),NA())</f>
      </c>
      <c r="F34">
        <f t="array" ref="F34">IFERROR(INDEX('射擊表'!$D$2:$D$500,MATCH(1,('射擊表'!$A$2:$A$500=2)*('射擊表'!$B$2:$B$500=D34),0)),NA())</f>
      </c>
      <c r="G34">
        <f t="array" ref="G34">IFERROR(SMALL(IF('射擊表'!$A$2:$A$500=3,'射擊表'!$B$2:$B$500),33),NA())</f>
      </c>
      <c r="H34">
        <f t="array" ref="H34">IFERROR(INDEX('射擊表'!$C$2:$C$500,MATCH(1,('射擊表'!$A$2:$A$500=3)*('射擊表'!$B$2:$B$500=G34),0)),NA())</f>
      </c>
      <c r="I34">
        <f t="array" ref="I34">IFERROR(INDEX('射擊表'!$D$2:$D$500,MATCH(1,('射擊表'!$A$2:$A$500=3)*('射擊表'!$B$2:$B$500=G34),0)),NA())</f>
      </c>
      <c r="J34">
        <f t="array" ref="J34">IFERROR(SMALL(IF('射擊表'!$A$2:$A$500=4,'射擊表'!$B$2:$B$500),33),NA())</f>
      </c>
      <c r="K34">
        <f t="array" ref="K34">IFERROR(INDEX('射擊表'!$C$2:$C$500,MATCH(1,('射擊表'!$A$2:$A$500=4)*('射擊表'!$B$2:$B$500=J34),0)),NA())</f>
      </c>
      <c r="L34">
        <f t="array" ref="L34">IFERROR(INDEX('射擊表'!$D$2:$D$500,MATCH(1,('射擊表'!$A$2:$A$500=4)*('射擊表'!$B$2:$B$500=J34),0)),NA())</f>
      </c>
      <c r="M34">
        <f t="array" ref="M34">IFERROR(SMALL(IF('射擊表'!$A$2:$A$500=5,'射擊表'!$B$2:$B$500),33),NA())</f>
      </c>
      <c r="N34">
        <f t="array" ref="N34">IFERROR(INDEX('射擊表'!$C$2:$C$500,MATCH(1,('射擊表'!$A$2:$A$500=5)*('射擊表'!$B$2:$B$500=M34),0)),NA())</f>
      </c>
      <c r="O34">
        <f t="array" ref="O34">IFERROR(INDEX('射擊表'!$D$2:$D$500,MATCH(1,('射擊表'!$A$2:$A$500=5)*('射擊表'!$B$2:$B$500=M34),0)),NA())</f>
      </c>
      <c r="P34">
        <f t="array" ref="P34">IFERROR(SMALL(IF('射擊表'!$A$2:$A$500=6,'射擊表'!$B$2:$B$500),33),NA())</f>
      </c>
      <c r="Q34">
        <f t="array" ref="Q34">IFERROR(INDEX('射擊表'!$C$2:$C$500,MATCH(1,('射擊表'!$A$2:$A$500=6)*('射擊表'!$B$2:$B$500=P34),0)),NA())</f>
      </c>
      <c r="R34">
        <f t="array" ref="R34">IFERROR(INDEX('射擊表'!$D$2:$D$500,MATCH(1,('射擊表'!$A$2:$A$500=6)*('射擊表'!$B$2:$B$500=P34),0)),NA())</f>
      </c>
      <c r="S34">
        <f t="array" ref="S34">IFERROR(SMALL(IF('射擊表'!$A$2:$A$500=7,'射擊表'!$B$2:$B$500),33),NA())</f>
      </c>
      <c r="T34">
        <f t="array" ref="T34">IFERROR(INDEX('射擊表'!$C$2:$C$500,MATCH(1,('射擊表'!$A$2:$A$500=7)*('射擊表'!$B$2:$B$500=S34),0)),NA())</f>
      </c>
      <c r="U34">
        <f t="array" ref="U34">IFERROR(INDEX('射擊表'!$D$2:$D$500,MATCH(1,('射擊表'!$A$2:$A$500=7)*('射擊表'!$B$2:$B$500=S34),0)),NA())</f>
      </c>
      <c r="V34">
        <f t="array" ref="V34">IFERROR(SMALL(IF('射擊表'!$A$2:$A$500=8,'射擊表'!$B$2:$B$500),33),NA())</f>
      </c>
      <c r="W34">
        <f t="array" ref="W34">IFERROR(INDEX('射擊表'!$C$2:$C$500,MATCH(1,('射擊表'!$A$2:$A$500=8)*('射擊表'!$B$2:$B$500=V34),0)),NA())</f>
      </c>
      <c r="X34">
        <f t="array" ref="X34">IFERROR(INDEX('射擊表'!$D$2:$D$500,MATCH(1,('射擊表'!$A$2:$A$500=8)*('射擊表'!$B$2:$B$500=V34),0)),NA())</f>
      </c>
      <c r="Y34">
        <f t="array" ref="Y34">IFERROR(SMALL(IF('射擊表'!$A$2:$A$500=9,'射擊表'!$B$2:$B$500),33),NA())</f>
      </c>
      <c r="Z34">
        <f t="array" ref="Z34">IFERROR(INDEX('射擊表'!$C$2:$C$500,MATCH(1,('射擊表'!$A$2:$A$500=9)*('射擊表'!$B$2:$B$500=Y34),0)),NA())</f>
      </c>
      <c r="AA34">
        <f t="array" ref="AA34">IFERROR(INDEX('射擊表'!$D$2:$D$500,MATCH(1,('射擊表'!$A$2:$A$500=9)*('射擊表'!$B$2:$B$500=Y34),0)),NA())</f>
      </c>
    </row>
    <row r="35">
      <c r="A35">
        <f t="array" ref="A35">IFERROR(SMALL(IF('射擊表'!$A$2:$A$500=1,'射擊表'!$B$2:$B$500),34),NA())</f>
      </c>
      <c r="B35">
        <f t="array" ref="B35">IFERROR(INDEX('射擊表'!$C$2:$C$500,MATCH(1,('射擊表'!$A$2:$A$500=1)*('射擊表'!$B$2:$B$500=A35),0)),NA())</f>
      </c>
      <c r="C35">
        <f t="array" ref="C35">IFERROR(INDEX('射擊表'!$D$2:$D$500,MATCH(1,('射擊表'!$A$2:$A$500=1)*('射擊表'!$B$2:$B$500=A35),0)),NA())</f>
      </c>
      <c r="D35">
        <f t="array" ref="D35">IFERROR(SMALL(IF('射擊表'!$A$2:$A$500=2,'射擊表'!$B$2:$B$500),34),NA())</f>
      </c>
      <c r="E35">
        <f t="array" ref="E35">IFERROR(INDEX('射擊表'!$C$2:$C$500,MATCH(1,('射擊表'!$A$2:$A$500=2)*('射擊表'!$B$2:$B$500=D35),0)),NA())</f>
      </c>
      <c r="F35">
        <f t="array" ref="F35">IFERROR(INDEX('射擊表'!$D$2:$D$500,MATCH(1,('射擊表'!$A$2:$A$500=2)*('射擊表'!$B$2:$B$500=D35),0)),NA())</f>
      </c>
      <c r="G35">
        <f t="array" ref="G35">IFERROR(SMALL(IF('射擊表'!$A$2:$A$500=3,'射擊表'!$B$2:$B$500),34),NA())</f>
      </c>
      <c r="H35">
        <f t="array" ref="H35">IFERROR(INDEX('射擊表'!$C$2:$C$500,MATCH(1,('射擊表'!$A$2:$A$500=3)*('射擊表'!$B$2:$B$500=G35),0)),NA())</f>
      </c>
      <c r="I35">
        <f t="array" ref="I35">IFERROR(INDEX('射擊表'!$D$2:$D$500,MATCH(1,('射擊表'!$A$2:$A$500=3)*('射擊表'!$B$2:$B$500=G35),0)),NA())</f>
      </c>
      <c r="J35">
        <f t="array" ref="J35">IFERROR(SMALL(IF('射擊表'!$A$2:$A$500=4,'射擊表'!$B$2:$B$500),34),NA())</f>
      </c>
      <c r="K35">
        <f t="array" ref="K35">IFERROR(INDEX('射擊表'!$C$2:$C$500,MATCH(1,('射擊表'!$A$2:$A$500=4)*('射擊表'!$B$2:$B$500=J35),0)),NA())</f>
      </c>
      <c r="L35">
        <f t="array" ref="L35">IFERROR(INDEX('射擊表'!$D$2:$D$500,MATCH(1,('射擊表'!$A$2:$A$500=4)*('射擊表'!$B$2:$B$500=J35),0)),NA())</f>
      </c>
      <c r="M35">
        <f t="array" ref="M35">IFERROR(SMALL(IF('射擊表'!$A$2:$A$500=5,'射擊表'!$B$2:$B$500),34),NA())</f>
      </c>
      <c r="N35">
        <f t="array" ref="N35">IFERROR(INDEX('射擊表'!$C$2:$C$500,MATCH(1,('射擊表'!$A$2:$A$500=5)*('射擊表'!$B$2:$B$500=M35),0)),NA())</f>
      </c>
      <c r="O35">
        <f t="array" ref="O35">IFERROR(INDEX('射擊表'!$D$2:$D$500,MATCH(1,('射擊表'!$A$2:$A$500=5)*('射擊表'!$B$2:$B$500=M35),0)),NA())</f>
      </c>
      <c r="P35">
        <f t="array" ref="P35">IFERROR(SMALL(IF('射擊表'!$A$2:$A$500=6,'射擊表'!$B$2:$B$500),34),NA())</f>
      </c>
      <c r="Q35">
        <f t="array" ref="Q35">IFERROR(INDEX('射擊表'!$C$2:$C$500,MATCH(1,('射擊表'!$A$2:$A$500=6)*('射擊表'!$B$2:$B$500=P35),0)),NA())</f>
      </c>
      <c r="R35">
        <f t="array" ref="R35">IFERROR(INDEX('射擊表'!$D$2:$D$500,MATCH(1,('射擊表'!$A$2:$A$500=6)*('射擊表'!$B$2:$B$500=P35),0)),NA())</f>
      </c>
      <c r="S35">
        <f t="array" ref="S35">IFERROR(SMALL(IF('射擊表'!$A$2:$A$500=7,'射擊表'!$B$2:$B$500),34),NA())</f>
      </c>
      <c r="T35">
        <f t="array" ref="T35">IFERROR(INDEX('射擊表'!$C$2:$C$500,MATCH(1,('射擊表'!$A$2:$A$500=7)*('射擊表'!$B$2:$B$500=S35),0)),NA())</f>
      </c>
      <c r="U35">
        <f t="array" ref="U35">IFERROR(INDEX('射擊表'!$D$2:$D$500,MATCH(1,('射擊表'!$A$2:$A$500=7)*('射擊表'!$B$2:$B$500=S35),0)),NA())</f>
      </c>
      <c r="V35">
        <f t="array" ref="V35">IFERROR(SMALL(IF('射擊表'!$A$2:$A$500=8,'射擊表'!$B$2:$B$500),34),NA())</f>
      </c>
      <c r="W35">
        <f t="array" ref="W35">IFERROR(INDEX('射擊表'!$C$2:$C$500,MATCH(1,('射擊表'!$A$2:$A$500=8)*('射擊表'!$B$2:$B$500=V35),0)),NA())</f>
      </c>
      <c r="X35">
        <f t="array" ref="X35">IFERROR(INDEX('射擊表'!$D$2:$D$500,MATCH(1,('射擊表'!$A$2:$A$500=8)*('射擊表'!$B$2:$B$500=V35),0)),NA())</f>
      </c>
      <c r="Y35">
        <f t="array" ref="Y35">IFERROR(SMALL(IF('射擊表'!$A$2:$A$500=9,'射擊表'!$B$2:$B$500),34),NA())</f>
      </c>
      <c r="Z35">
        <f t="array" ref="Z35">IFERROR(INDEX('射擊表'!$C$2:$C$500,MATCH(1,('射擊表'!$A$2:$A$500=9)*('射擊表'!$B$2:$B$500=Y35),0)),NA())</f>
      </c>
      <c r="AA35">
        <f t="array" ref="AA35">IFERROR(INDEX('射擊表'!$D$2:$D$500,MATCH(1,('射擊表'!$A$2:$A$500=9)*('射擊表'!$B$2:$B$500=Y35),0)),NA())</f>
      </c>
    </row>
    <row r="36">
      <c r="A36">
        <f t="array" ref="A36">IFERROR(SMALL(IF('射擊表'!$A$2:$A$500=1,'射擊表'!$B$2:$B$500),35),NA())</f>
      </c>
      <c r="B36">
        <f t="array" ref="B36">IFERROR(INDEX('射擊表'!$C$2:$C$500,MATCH(1,('射擊表'!$A$2:$A$500=1)*('射擊表'!$B$2:$B$500=A36),0)),NA())</f>
      </c>
      <c r="C36">
        <f t="array" ref="C36">IFERROR(INDEX('射擊表'!$D$2:$D$500,MATCH(1,('射擊表'!$A$2:$A$500=1)*('射擊表'!$B$2:$B$500=A36),0)),NA())</f>
      </c>
      <c r="D36">
        <f t="array" ref="D36">IFERROR(SMALL(IF('射擊表'!$A$2:$A$500=2,'射擊表'!$B$2:$B$500),35),NA())</f>
      </c>
      <c r="E36">
        <f t="array" ref="E36">IFERROR(INDEX('射擊表'!$C$2:$C$500,MATCH(1,('射擊表'!$A$2:$A$500=2)*('射擊表'!$B$2:$B$500=D36),0)),NA())</f>
      </c>
      <c r="F36">
        <f t="array" ref="F36">IFERROR(INDEX('射擊表'!$D$2:$D$500,MATCH(1,('射擊表'!$A$2:$A$500=2)*('射擊表'!$B$2:$B$500=D36),0)),NA())</f>
      </c>
      <c r="G36">
        <f t="array" ref="G36">IFERROR(SMALL(IF('射擊表'!$A$2:$A$500=3,'射擊表'!$B$2:$B$500),35),NA())</f>
      </c>
      <c r="H36">
        <f t="array" ref="H36">IFERROR(INDEX('射擊表'!$C$2:$C$500,MATCH(1,('射擊表'!$A$2:$A$500=3)*('射擊表'!$B$2:$B$500=G36),0)),NA())</f>
      </c>
      <c r="I36">
        <f t="array" ref="I36">IFERROR(INDEX('射擊表'!$D$2:$D$500,MATCH(1,('射擊表'!$A$2:$A$500=3)*('射擊表'!$B$2:$B$500=G36),0)),NA())</f>
      </c>
      <c r="J36">
        <f t="array" ref="J36">IFERROR(SMALL(IF('射擊表'!$A$2:$A$500=4,'射擊表'!$B$2:$B$500),35),NA())</f>
      </c>
      <c r="K36">
        <f t="array" ref="K36">IFERROR(INDEX('射擊表'!$C$2:$C$500,MATCH(1,('射擊表'!$A$2:$A$500=4)*('射擊表'!$B$2:$B$500=J36),0)),NA())</f>
      </c>
      <c r="L36">
        <f t="array" ref="L36">IFERROR(INDEX('射擊表'!$D$2:$D$500,MATCH(1,('射擊表'!$A$2:$A$500=4)*('射擊表'!$B$2:$B$500=J36),0)),NA())</f>
      </c>
      <c r="M36">
        <f t="array" ref="M36">IFERROR(SMALL(IF('射擊表'!$A$2:$A$500=5,'射擊表'!$B$2:$B$500),35),NA())</f>
      </c>
      <c r="N36">
        <f t="array" ref="N36">IFERROR(INDEX('射擊表'!$C$2:$C$500,MATCH(1,('射擊表'!$A$2:$A$500=5)*('射擊表'!$B$2:$B$500=M36),0)),NA())</f>
      </c>
      <c r="O36">
        <f t="array" ref="O36">IFERROR(INDEX('射擊表'!$D$2:$D$500,MATCH(1,('射擊表'!$A$2:$A$500=5)*('射擊表'!$B$2:$B$500=M36),0)),NA())</f>
      </c>
      <c r="P36">
        <f t="array" ref="P36">IFERROR(SMALL(IF('射擊表'!$A$2:$A$500=6,'射擊表'!$B$2:$B$500),35),NA())</f>
      </c>
      <c r="Q36">
        <f t="array" ref="Q36">IFERROR(INDEX('射擊表'!$C$2:$C$500,MATCH(1,('射擊表'!$A$2:$A$500=6)*('射擊表'!$B$2:$B$500=P36),0)),NA())</f>
      </c>
      <c r="R36">
        <f t="array" ref="R36">IFERROR(INDEX('射擊表'!$D$2:$D$500,MATCH(1,('射擊表'!$A$2:$A$500=6)*('射擊表'!$B$2:$B$500=P36),0)),NA())</f>
      </c>
      <c r="S36">
        <f t="array" ref="S36">IFERROR(SMALL(IF('射擊表'!$A$2:$A$500=7,'射擊表'!$B$2:$B$500),35),NA())</f>
      </c>
      <c r="T36">
        <f t="array" ref="T36">IFERROR(INDEX('射擊表'!$C$2:$C$500,MATCH(1,('射擊表'!$A$2:$A$500=7)*('射擊表'!$B$2:$B$500=S36),0)),NA())</f>
      </c>
      <c r="U36">
        <f t="array" ref="U36">IFERROR(INDEX('射擊表'!$D$2:$D$500,MATCH(1,('射擊表'!$A$2:$A$500=7)*('射擊表'!$B$2:$B$500=S36),0)),NA())</f>
      </c>
      <c r="V36">
        <f t="array" ref="V36">IFERROR(SMALL(IF('射擊表'!$A$2:$A$500=8,'射擊表'!$B$2:$B$500),35),NA())</f>
      </c>
      <c r="W36">
        <f t="array" ref="W36">IFERROR(INDEX('射擊表'!$C$2:$C$500,MATCH(1,('射擊表'!$A$2:$A$500=8)*('射擊表'!$B$2:$B$500=V36),0)),NA())</f>
      </c>
      <c r="X36">
        <f t="array" ref="X36">IFERROR(INDEX('射擊表'!$D$2:$D$500,MATCH(1,('射擊表'!$A$2:$A$500=8)*('射擊表'!$B$2:$B$500=V36),0)),NA())</f>
      </c>
      <c r="Y36">
        <f t="array" ref="Y36">IFERROR(SMALL(IF('射擊表'!$A$2:$A$500=9,'射擊表'!$B$2:$B$500),35),NA())</f>
      </c>
      <c r="Z36">
        <f t="array" ref="Z36">IFERROR(INDEX('射擊表'!$C$2:$C$500,MATCH(1,('射擊表'!$A$2:$A$500=9)*('射擊表'!$B$2:$B$500=Y36),0)),NA())</f>
      </c>
      <c r="AA36">
        <f t="array" ref="AA36">IFERROR(INDEX('射擊表'!$D$2:$D$500,MATCH(1,('射擊表'!$A$2:$A$500=9)*('射擊表'!$B$2:$B$500=Y36),0)),NA())</f>
      </c>
    </row>
    <row r="37">
      <c r="A37">
        <f t="array" ref="A37">IFERROR(SMALL(IF('射擊表'!$A$2:$A$500=1,'射擊表'!$B$2:$B$500),36),NA())</f>
      </c>
      <c r="B37">
        <f t="array" ref="B37">IFERROR(INDEX('射擊表'!$C$2:$C$500,MATCH(1,('射擊表'!$A$2:$A$500=1)*('射擊表'!$B$2:$B$500=A37),0)),NA())</f>
      </c>
      <c r="C37">
        <f t="array" ref="C37">IFERROR(INDEX('射擊表'!$D$2:$D$500,MATCH(1,('射擊表'!$A$2:$A$500=1)*('射擊表'!$B$2:$B$500=A37),0)),NA())</f>
      </c>
      <c r="D37">
        <f t="array" ref="D37">IFERROR(SMALL(IF('射擊表'!$A$2:$A$500=2,'射擊表'!$B$2:$B$500),36),NA())</f>
      </c>
      <c r="E37">
        <f t="array" ref="E37">IFERROR(INDEX('射擊表'!$C$2:$C$500,MATCH(1,('射擊表'!$A$2:$A$500=2)*('射擊表'!$B$2:$B$500=D37),0)),NA())</f>
      </c>
      <c r="F37">
        <f t="array" ref="F37">IFERROR(INDEX('射擊表'!$D$2:$D$500,MATCH(1,('射擊表'!$A$2:$A$500=2)*('射擊表'!$B$2:$B$500=D37),0)),NA())</f>
      </c>
      <c r="G37">
        <f t="array" ref="G37">IFERROR(SMALL(IF('射擊表'!$A$2:$A$500=3,'射擊表'!$B$2:$B$500),36),NA())</f>
      </c>
      <c r="H37">
        <f t="array" ref="H37">IFERROR(INDEX('射擊表'!$C$2:$C$500,MATCH(1,('射擊表'!$A$2:$A$500=3)*('射擊表'!$B$2:$B$500=G37),0)),NA())</f>
      </c>
      <c r="I37">
        <f t="array" ref="I37">IFERROR(INDEX('射擊表'!$D$2:$D$500,MATCH(1,('射擊表'!$A$2:$A$500=3)*('射擊表'!$B$2:$B$500=G37),0)),NA())</f>
      </c>
      <c r="J37">
        <f t="array" ref="J37">IFERROR(SMALL(IF('射擊表'!$A$2:$A$500=4,'射擊表'!$B$2:$B$500),36),NA())</f>
      </c>
      <c r="K37">
        <f t="array" ref="K37">IFERROR(INDEX('射擊表'!$C$2:$C$500,MATCH(1,('射擊表'!$A$2:$A$500=4)*('射擊表'!$B$2:$B$500=J37),0)),NA())</f>
      </c>
      <c r="L37">
        <f t="array" ref="L37">IFERROR(INDEX('射擊表'!$D$2:$D$500,MATCH(1,('射擊表'!$A$2:$A$500=4)*('射擊表'!$B$2:$B$500=J37),0)),NA())</f>
      </c>
      <c r="M37">
        <f t="array" ref="M37">IFERROR(SMALL(IF('射擊表'!$A$2:$A$500=5,'射擊表'!$B$2:$B$500),36),NA())</f>
      </c>
      <c r="N37">
        <f t="array" ref="N37">IFERROR(INDEX('射擊表'!$C$2:$C$500,MATCH(1,('射擊表'!$A$2:$A$500=5)*('射擊表'!$B$2:$B$500=M37),0)),NA())</f>
      </c>
      <c r="O37">
        <f t="array" ref="O37">IFERROR(INDEX('射擊表'!$D$2:$D$500,MATCH(1,('射擊表'!$A$2:$A$500=5)*('射擊表'!$B$2:$B$500=M37),0)),NA())</f>
      </c>
      <c r="P37">
        <f t="array" ref="P37">IFERROR(SMALL(IF('射擊表'!$A$2:$A$500=6,'射擊表'!$B$2:$B$500),36),NA())</f>
      </c>
      <c r="Q37">
        <f t="array" ref="Q37">IFERROR(INDEX('射擊表'!$C$2:$C$500,MATCH(1,('射擊表'!$A$2:$A$500=6)*('射擊表'!$B$2:$B$500=P37),0)),NA())</f>
      </c>
      <c r="R37">
        <f t="array" ref="R37">IFERROR(INDEX('射擊表'!$D$2:$D$500,MATCH(1,('射擊表'!$A$2:$A$500=6)*('射擊表'!$B$2:$B$500=P37),0)),NA())</f>
      </c>
      <c r="S37">
        <f t="array" ref="S37">IFERROR(SMALL(IF('射擊表'!$A$2:$A$500=7,'射擊表'!$B$2:$B$500),36),NA())</f>
      </c>
      <c r="T37">
        <f t="array" ref="T37">IFERROR(INDEX('射擊表'!$C$2:$C$500,MATCH(1,('射擊表'!$A$2:$A$500=7)*('射擊表'!$B$2:$B$500=S37),0)),NA())</f>
      </c>
      <c r="U37">
        <f t="array" ref="U37">IFERROR(INDEX('射擊表'!$D$2:$D$500,MATCH(1,('射擊表'!$A$2:$A$500=7)*('射擊表'!$B$2:$B$500=S37),0)),NA())</f>
      </c>
      <c r="V37">
        <f t="array" ref="V37">IFERROR(SMALL(IF('射擊表'!$A$2:$A$500=8,'射擊表'!$B$2:$B$500),36),NA())</f>
      </c>
      <c r="W37">
        <f t="array" ref="W37">IFERROR(INDEX('射擊表'!$C$2:$C$500,MATCH(1,('射擊表'!$A$2:$A$500=8)*('射擊表'!$B$2:$B$500=V37),0)),NA())</f>
      </c>
      <c r="X37">
        <f t="array" ref="X37">IFERROR(INDEX('射擊表'!$D$2:$D$500,MATCH(1,('射擊表'!$A$2:$A$500=8)*('射擊表'!$B$2:$B$500=V37),0)),NA())</f>
      </c>
      <c r="Y37">
        <f t="array" ref="Y37">IFERROR(SMALL(IF('射擊表'!$A$2:$A$500=9,'射擊表'!$B$2:$B$500),36),NA())</f>
      </c>
      <c r="Z37">
        <f t="array" ref="Z37">IFERROR(INDEX('射擊表'!$C$2:$C$500,MATCH(1,('射擊表'!$A$2:$A$500=9)*('射擊表'!$B$2:$B$500=Y37),0)),NA())</f>
      </c>
      <c r="AA37">
        <f t="array" ref="AA37">IFERROR(INDEX('射擊表'!$D$2:$D$500,MATCH(1,('射擊表'!$A$2:$A$500=9)*('射擊表'!$B$2:$B$500=Y37),0)),NA())</f>
      </c>
    </row>
    <row r="38">
      <c r="A38">
        <f t="array" ref="A38">IFERROR(SMALL(IF('射擊表'!$A$2:$A$500=1,'射擊表'!$B$2:$B$500),37),NA())</f>
      </c>
      <c r="B38">
        <f t="array" ref="B38">IFERROR(INDEX('射擊表'!$C$2:$C$500,MATCH(1,('射擊表'!$A$2:$A$500=1)*('射擊表'!$B$2:$B$500=A38),0)),NA())</f>
      </c>
      <c r="C38">
        <f t="array" ref="C38">IFERROR(INDEX('射擊表'!$D$2:$D$500,MATCH(1,('射擊表'!$A$2:$A$500=1)*('射擊表'!$B$2:$B$500=A38),0)),NA())</f>
      </c>
      <c r="D38">
        <f t="array" ref="D38">IFERROR(SMALL(IF('射擊表'!$A$2:$A$500=2,'射擊表'!$B$2:$B$500),37),NA())</f>
      </c>
      <c r="E38">
        <f t="array" ref="E38">IFERROR(INDEX('射擊表'!$C$2:$C$500,MATCH(1,('射擊表'!$A$2:$A$500=2)*('射擊表'!$B$2:$B$500=D38),0)),NA())</f>
      </c>
      <c r="F38">
        <f t="array" ref="F38">IFERROR(INDEX('射擊表'!$D$2:$D$500,MATCH(1,('射擊表'!$A$2:$A$500=2)*('射擊表'!$B$2:$B$500=D38),0)),NA())</f>
      </c>
      <c r="G38">
        <f t="array" ref="G38">IFERROR(SMALL(IF('射擊表'!$A$2:$A$500=3,'射擊表'!$B$2:$B$500),37),NA())</f>
      </c>
      <c r="H38">
        <f t="array" ref="H38">IFERROR(INDEX('射擊表'!$C$2:$C$500,MATCH(1,('射擊表'!$A$2:$A$500=3)*('射擊表'!$B$2:$B$500=G38),0)),NA())</f>
      </c>
      <c r="I38">
        <f t="array" ref="I38">IFERROR(INDEX('射擊表'!$D$2:$D$500,MATCH(1,('射擊表'!$A$2:$A$500=3)*('射擊表'!$B$2:$B$500=G38),0)),NA())</f>
      </c>
      <c r="J38">
        <f t="array" ref="J38">IFERROR(SMALL(IF('射擊表'!$A$2:$A$500=4,'射擊表'!$B$2:$B$500),37),NA())</f>
      </c>
      <c r="K38">
        <f t="array" ref="K38">IFERROR(INDEX('射擊表'!$C$2:$C$500,MATCH(1,('射擊表'!$A$2:$A$500=4)*('射擊表'!$B$2:$B$500=J38),0)),NA())</f>
      </c>
      <c r="L38">
        <f t="array" ref="L38">IFERROR(INDEX('射擊表'!$D$2:$D$500,MATCH(1,('射擊表'!$A$2:$A$500=4)*('射擊表'!$B$2:$B$500=J38),0)),NA())</f>
      </c>
      <c r="M38">
        <f t="array" ref="M38">IFERROR(SMALL(IF('射擊表'!$A$2:$A$500=5,'射擊表'!$B$2:$B$500),37),NA())</f>
      </c>
      <c r="N38">
        <f t="array" ref="N38">IFERROR(INDEX('射擊表'!$C$2:$C$500,MATCH(1,('射擊表'!$A$2:$A$500=5)*('射擊表'!$B$2:$B$500=M38),0)),NA())</f>
      </c>
      <c r="O38">
        <f t="array" ref="O38">IFERROR(INDEX('射擊表'!$D$2:$D$500,MATCH(1,('射擊表'!$A$2:$A$500=5)*('射擊表'!$B$2:$B$500=M38),0)),NA())</f>
      </c>
      <c r="P38">
        <f t="array" ref="P38">IFERROR(SMALL(IF('射擊表'!$A$2:$A$500=6,'射擊表'!$B$2:$B$500),37),NA())</f>
      </c>
      <c r="Q38">
        <f t="array" ref="Q38">IFERROR(INDEX('射擊表'!$C$2:$C$500,MATCH(1,('射擊表'!$A$2:$A$500=6)*('射擊表'!$B$2:$B$500=P38),0)),NA())</f>
      </c>
      <c r="R38">
        <f t="array" ref="R38">IFERROR(INDEX('射擊表'!$D$2:$D$500,MATCH(1,('射擊表'!$A$2:$A$500=6)*('射擊表'!$B$2:$B$500=P38),0)),NA())</f>
      </c>
      <c r="S38">
        <f t="array" ref="S38">IFERROR(SMALL(IF('射擊表'!$A$2:$A$500=7,'射擊表'!$B$2:$B$500),37),NA())</f>
      </c>
      <c r="T38">
        <f t="array" ref="T38">IFERROR(INDEX('射擊表'!$C$2:$C$500,MATCH(1,('射擊表'!$A$2:$A$500=7)*('射擊表'!$B$2:$B$500=S38),0)),NA())</f>
      </c>
      <c r="U38">
        <f t="array" ref="U38">IFERROR(INDEX('射擊表'!$D$2:$D$500,MATCH(1,('射擊表'!$A$2:$A$500=7)*('射擊表'!$B$2:$B$500=S38),0)),NA())</f>
      </c>
      <c r="V38">
        <f t="array" ref="V38">IFERROR(SMALL(IF('射擊表'!$A$2:$A$500=8,'射擊表'!$B$2:$B$500),37),NA())</f>
      </c>
      <c r="W38">
        <f t="array" ref="W38">IFERROR(INDEX('射擊表'!$C$2:$C$500,MATCH(1,('射擊表'!$A$2:$A$500=8)*('射擊表'!$B$2:$B$500=V38),0)),NA())</f>
      </c>
      <c r="X38">
        <f t="array" ref="X38">IFERROR(INDEX('射擊表'!$D$2:$D$500,MATCH(1,('射擊表'!$A$2:$A$500=8)*('射擊表'!$B$2:$B$500=V38),0)),NA())</f>
      </c>
      <c r="Y38">
        <f t="array" ref="Y38">IFERROR(SMALL(IF('射擊表'!$A$2:$A$500=9,'射擊表'!$B$2:$B$500),37),NA())</f>
      </c>
      <c r="Z38">
        <f t="array" ref="Z38">IFERROR(INDEX('射擊表'!$C$2:$C$500,MATCH(1,('射擊表'!$A$2:$A$500=9)*('射擊表'!$B$2:$B$500=Y38),0)),NA())</f>
      </c>
      <c r="AA38">
        <f t="array" ref="AA38">IFERROR(INDEX('射擊表'!$D$2:$D$500,MATCH(1,('射擊表'!$A$2:$A$500=9)*('射擊表'!$B$2:$B$500=Y38),0)),NA())</f>
      </c>
    </row>
    <row r="39">
      <c r="A39">
        <f t="array" ref="A39">IFERROR(SMALL(IF('射擊表'!$A$2:$A$500=1,'射擊表'!$B$2:$B$500),38),NA())</f>
      </c>
      <c r="B39">
        <f t="array" ref="B39">IFERROR(INDEX('射擊表'!$C$2:$C$500,MATCH(1,('射擊表'!$A$2:$A$500=1)*('射擊表'!$B$2:$B$500=A39),0)),NA())</f>
      </c>
      <c r="C39">
        <f t="array" ref="C39">IFERROR(INDEX('射擊表'!$D$2:$D$500,MATCH(1,('射擊表'!$A$2:$A$500=1)*('射擊表'!$B$2:$B$500=A39),0)),NA())</f>
      </c>
      <c r="D39">
        <f t="array" ref="D39">IFERROR(SMALL(IF('射擊表'!$A$2:$A$500=2,'射擊表'!$B$2:$B$500),38),NA())</f>
      </c>
      <c r="E39">
        <f t="array" ref="E39">IFERROR(INDEX('射擊表'!$C$2:$C$500,MATCH(1,('射擊表'!$A$2:$A$500=2)*('射擊表'!$B$2:$B$500=D39),0)),NA())</f>
      </c>
      <c r="F39">
        <f t="array" ref="F39">IFERROR(INDEX('射擊表'!$D$2:$D$500,MATCH(1,('射擊表'!$A$2:$A$500=2)*('射擊表'!$B$2:$B$500=D39),0)),NA())</f>
      </c>
      <c r="G39">
        <f t="array" ref="G39">IFERROR(SMALL(IF('射擊表'!$A$2:$A$500=3,'射擊表'!$B$2:$B$500),38),NA())</f>
      </c>
      <c r="H39">
        <f t="array" ref="H39">IFERROR(INDEX('射擊表'!$C$2:$C$500,MATCH(1,('射擊表'!$A$2:$A$500=3)*('射擊表'!$B$2:$B$500=G39),0)),NA())</f>
      </c>
      <c r="I39">
        <f t="array" ref="I39">IFERROR(INDEX('射擊表'!$D$2:$D$500,MATCH(1,('射擊表'!$A$2:$A$500=3)*('射擊表'!$B$2:$B$500=G39),0)),NA())</f>
      </c>
      <c r="J39">
        <f t="array" ref="J39">IFERROR(SMALL(IF('射擊表'!$A$2:$A$500=4,'射擊表'!$B$2:$B$500),38),NA())</f>
      </c>
      <c r="K39">
        <f t="array" ref="K39">IFERROR(INDEX('射擊表'!$C$2:$C$500,MATCH(1,('射擊表'!$A$2:$A$500=4)*('射擊表'!$B$2:$B$500=J39),0)),NA())</f>
      </c>
      <c r="L39">
        <f t="array" ref="L39">IFERROR(INDEX('射擊表'!$D$2:$D$500,MATCH(1,('射擊表'!$A$2:$A$500=4)*('射擊表'!$B$2:$B$500=J39),0)),NA())</f>
      </c>
      <c r="M39">
        <f t="array" ref="M39">IFERROR(SMALL(IF('射擊表'!$A$2:$A$500=5,'射擊表'!$B$2:$B$500),38),NA())</f>
      </c>
      <c r="N39">
        <f t="array" ref="N39">IFERROR(INDEX('射擊表'!$C$2:$C$500,MATCH(1,('射擊表'!$A$2:$A$500=5)*('射擊表'!$B$2:$B$500=M39),0)),NA())</f>
      </c>
      <c r="O39">
        <f t="array" ref="O39">IFERROR(INDEX('射擊表'!$D$2:$D$500,MATCH(1,('射擊表'!$A$2:$A$500=5)*('射擊表'!$B$2:$B$500=M39),0)),NA())</f>
      </c>
      <c r="P39">
        <f t="array" ref="P39">IFERROR(SMALL(IF('射擊表'!$A$2:$A$500=6,'射擊表'!$B$2:$B$500),38),NA())</f>
      </c>
      <c r="Q39">
        <f t="array" ref="Q39">IFERROR(INDEX('射擊表'!$C$2:$C$500,MATCH(1,('射擊表'!$A$2:$A$500=6)*('射擊表'!$B$2:$B$500=P39),0)),NA())</f>
      </c>
      <c r="R39">
        <f t="array" ref="R39">IFERROR(INDEX('射擊表'!$D$2:$D$500,MATCH(1,('射擊表'!$A$2:$A$500=6)*('射擊表'!$B$2:$B$500=P39),0)),NA())</f>
      </c>
      <c r="S39">
        <f t="array" ref="S39">IFERROR(SMALL(IF('射擊表'!$A$2:$A$500=7,'射擊表'!$B$2:$B$500),38),NA())</f>
      </c>
      <c r="T39">
        <f t="array" ref="T39">IFERROR(INDEX('射擊表'!$C$2:$C$500,MATCH(1,('射擊表'!$A$2:$A$500=7)*('射擊表'!$B$2:$B$500=S39),0)),NA())</f>
      </c>
      <c r="U39">
        <f t="array" ref="U39">IFERROR(INDEX('射擊表'!$D$2:$D$500,MATCH(1,('射擊表'!$A$2:$A$500=7)*('射擊表'!$B$2:$B$500=S39),0)),NA())</f>
      </c>
      <c r="V39">
        <f t="array" ref="V39">IFERROR(SMALL(IF('射擊表'!$A$2:$A$500=8,'射擊表'!$B$2:$B$500),38),NA())</f>
      </c>
      <c r="W39">
        <f t="array" ref="W39">IFERROR(INDEX('射擊表'!$C$2:$C$500,MATCH(1,('射擊表'!$A$2:$A$500=8)*('射擊表'!$B$2:$B$500=V39),0)),NA())</f>
      </c>
      <c r="X39">
        <f t="array" ref="X39">IFERROR(INDEX('射擊表'!$D$2:$D$500,MATCH(1,('射擊表'!$A$2:$A$500=8)*('射擊表'!$B$2:$B$500=V39),0)),NA())</f>
      </c>
      <c r="Y39">
        <f t="array" ref="Y39">IFERROR(SMALL(IF('射擊表'!$A$2:$A$500=9,'射擊表'!$B$2:$B$500),38),NA())</f>
      </c>
      <c r="Z39">
        <f t="array" ref="Z39">IFERROR(INDEX('射擊表'!$C$2:$C$500,MATCH(1,('射擊表'!$A$2:$A$500=9)*('射擊表'!$B$2:$B$500=Y39),0)),NA())</f>
      </c>
      <c r="AA39">
        <f t="array" ref="AA39">IFERROR(INDEX('射擊表'!$D$2:$D$500,MATCH(1,('射擊表'!$A$2:$A$500=9)*('射擊表'!$B$2:$B$500=Y39),0)),NA())</f>
      </c>
    </row>
    <row r="40">
      <c r="A40">
        <f t="array" ref="A40">IFERROR(SMALL(IF('射擊表'!$A$2:$A$500=1,'射擊表'!$B$2:$B$500),39),NA())</f>
      </c>
      <c r="B40">
        <f t="array" ref="B40">IFERROR(INDEX('射擊表'!$C$2:$C$500,MATCH(1,('射擊表'!$A$2:$A$500=1)*('射擊表'!$B$2:$B$500=A40),0)),NA())</f>
      </c>
      <c r="C40">
        <f t="array" ref="C40">IFERROR(INDEX('射擊表'!$D$2:$D$500,MATCH(1,('射擊表'!$A$2:$A$500=1)*('射擊表'!$B$2:$B$500=A40),0)),NA())</f>
      </c>
      <c r="D40">
        <f t="array" ref="D40">IFERROR(SMALL(IF('射擊表'!$A$2:$A$500=2,'射擊表'!$B$2:$B$500),39),NA())</f>
      </c>
      <c r="E40">
        <f t="array" ref="E40">IFERROR(INDEX('射擊表'!$C$2:$C$500,MATCH(1,('射擊表'!$A$2:$A$500=2)*('射擊表'!$B$2:$B$500=D40),0)),NA())</f>
      </c>
      <c r="F40">
        <f t="array" ref="F40">IFERROR(INDEX('射擊表'!$D$2:$D$500,MATCH(1,('射擊表'!$A$2:$A$500=2)*('射擊表'!$B$2:$B$500=D40),0)),NA())</f>
      </c>
      <c r="G40">
        <f t="array" ref="G40">IFERROR(SMALL(IF('射擊表'!$A$2:$A$500=3,'射擊表'!$B$2:$B$500),39),NA())</f>
      </c>
      <c r="H40">
        <f t="array" ref="H40">IFERROR(INDEX('射擊表'!$C$2:$C$500,MATCH(1,('射擊表'!$A$2:$A$500=3)*('射擊表'!$B$2:$B$500=G40),0)),NA())</f>
      </c>
      <c r="I40">
        <f t="array" ref="I40">IFERROR(INDEX('射擊表'!$D$2:$D$500,MATCH(1,('射擊表'!$A$2:$A$500=3)*('射擊表'!$B$2:$B$500=G40),0)),NA())</f>
      </c>
      <c r="J40">
        <f t="array" ref="J40">IFERROR(SMALL(IF('射擊表'!$A$2:$A$500=4,'射擊表'!$B$2:$B$500),39),NA())</f>
      </c>
      <c r="K40">
        <f t="array" ref="K40">IFERROR(INDEX('射擊表'!$C$2:$C$500,MATCH(1,('射擊表'!$A$2:$A$500=4)*('射擊表'!$B$2:$B$500=J40),0)),NA())</f>
      </c>
      <c r="L40">
        <f t="array" ref="L40">IFERROR(INDEX('射擊表'!$D$2:$D$500,MATCH(1,('射擊表'!$A$2:$A$500=4)*('射擊表'!$B$2:$B$500=J40),0)),NA())</f>
      </c>
      <c r="M40">
        <f t="array" ref="M40">IFERROR(SMALL(IF('射擊表'!$A$2:$A$500=5,'射擊表'!$B$2:$B$500),39),NA())</f>
      </c>
      <c r="N40">
        <f t="array" ref="N40">IFERROR(INDEX('射擊表'!$C$2:$C$500,MATCH(1,('射擊表'!$A$2:$A$500=5)*('射擊表'!$B$2:$B$500=M40),0)),NA())</f>
      </c>
      <c r="O40">
        <f t="array" ref="O40">IFERROR(INDEX('射擊表'!$D$2:$D$500,MATCH(1,('射擊表'!$A$2:$A$500=5)*('射擊表'!$B$2:$B$500=M40),0)),NA())</f>
      </c>
      <c r="P40">
        <f t="array" ref="P40">IFERROR(SMALL(IF('射擊表'!$A$2:$A$500=6,'射擊表'!$B$2:$B$500),39),NA())</f>
      </c>
      <c r="Q40">
        <f t="array" ref="Q40">IFERROR(INDEX('射擊表'!$C$2:$C$500,MATCH(1,('射擊表'!$A$2:$A$500=6)*('射擊表'!$B$2:$B$500=P40),0)),NA())</f>
      </c>
      <c r="R40">
        <f t="array" ref="R40">IFERROR(INDEX('射擊表'!$D$2:$D$500,MATCH(1,('射擊表'!$A$2:$A$500=6)*('射擊表'!$B$2:$B$500=P40),0)),NA())</f>
      </c>
      <c r="S40">
        <f t="array" ref="S40">IFERROR(SMALL(IF('射擊表'!$A$2:$A$500=7,'射擊表'!$B$2:$B$500),39),NA())</f>
      </c>
      <c r="T40">
        <f t="array" ref="T40">IFERROR(INDEX('射擊表'!$C$2:$C$500,MATCH(1,('射擊表'!$A$2:$A$500=7)*('射擊表'!$B$2:$B$500=S40),0)),NA())</f>
      </c>
      <c r="U40">
        <f t="array" ref="U40">IFERROR(INDEX('射擊表'!$D$2:$D$500,MATCH(1,('射擊表'!$A$2:$A$500=7)*('射擊表'!$B$2:$B$500=S40),0)),NA())</f>
      </c>
      <c r="V40">
        <f t="array" ref="V40">IFERROR(SMALL(IF('射擊表'!$A$2:$A$500=8,'射擊表'!$B$2:$B$500),39),NA())</f>
      </c>
      <c r="W40">
        <f t="array" ref="W40">IFERROR(INDEX('射擊表'!$C$2:$C$500,MATCH(1,('射擊表'!$A$2:$A$500=8)*('射擊表'!$B$2:$B$500=V40),0)),NA())</f>
      </c>
      <c r="X40">
        <f t="array" ref="X40">IFERROR(INDEX('射擊表'!$D$2:$D$500,MATCH(1,('射擊表'!$A$2:$A$500=8)*('射擊表'!$B$2:$B$500=V40),0)),NA())</f>
      </c>
      <c r="Y40">
        <f t="array" ref="Y40">IFERROR(SMALL(IF('射擊表'!$A$2:$A$500=9,'射擊表'!$B$2:$B$500),39),NA())</f>
      </c>
      <c r="Z40">
        <f t="array" ref="Z40">IFERROR(INDEX('射擊表'!$C$2:$C$500,MATCH(1,('射擊表'!$A$2:$A$500=9)*('射擊表'!$B$2:$B$500=Y40),0)),NA())</f>
      </c>
      <c r="AA40">
        <f t="array" ref="AA40">IFERROR(INDEX('射擊表'!$D$2:$D$500,MATCH(1,('射擊表'!$A$2:$A$500=9)*('射擊表'!$B$2:$B$500=Y40),0)),NA())</f>
      </c>
    </row>
    <row r="41">
      <c r="A41">
        <f t="array" ref="A41">IFERROR(SMALL(IF('射擊表'!$A$2:$A$500=1,'射擊表'!$B$2:$B$500),40),NA())</f>
      </c>
      <c r="B41">
        <f t="array" ref="B41">IFERROR(INDEX('射擊表'!$C$2:$C$500,MATCH(1,('射擊表'!$A$2:$A$500=1)*('射擊表'!$B$2:$B$500=A41),0)),NA())</f>
      </c>
      <c r="C41">
        <f t="array" ref="C41">IFERROR(INDEX('射擊表'!$D$2:$D$500,MATCH(1,('射擊表'!$A$2:$A$500=1)*('射擊表'!$B$2:$B$500=A41),0)),NA())</f>
      </c>
      <c r="D41">
        <f t="array" ref="D41">IFERROR(SMALL(IF('射擊表'!$A$2:$A$500=2,'射擊表'!$B$2:$B$500),40),NA())</f>
      </c>
      <c r="E41">
        <f t="array" ref="E41">IFERROR(INDEX('射擊表'!$C$2:$C$500,MATCH(1,('射擊表'!$A$2:$A$500=2)*('射擊表'!$B$2:$B$500=D41),0)),NA())</f>
      </c>
      <c r="F41">
        <f t="array" ref="F41">IFERROR(INDEX('射擊表'!$D$2:$D$500,MATCH(1,('射擊表'!$A$2:$A$500=2)*('射擊表'!$B$2:$B$500=D41),0)),NA())</f>
      </c>
      <c r="G41">
        <f t="array" ref="G41">IFERROR(SMALL(IF('射擊表'!$A$2:$A$500=3,'射擊表'!$B$2:$B$500),40),NA())</f>
      </c>
      <c r="H41">
        <f t="array" ref="H41">IFERROR(INDEX('射擊表'!$C$2:$C$500,MATCH(1,('射擊表'!$A$2:$A$500=3)*('射擊表'!$B$2:$B$500=G41),0)),NA())</f>
      </c>
      <c r="I41">
        <f t="array" ref="I41">IFERROR(INDEX('射擊表'!$D$2:$D$500,MATCH(1,('射擊表'!$A$2:$A$500=3)*('射擊表'!$B$2:$B$500=G41),0)),NA())</f>
      </c>
      <c r="J41">
        <f t="array" ref="J41">IFERROR(SMALL(IF('射擊表'!$A$2:$A$500=4,'射擊表'!$B$2:$B$500),40),NA())</f>
      </c>
      <c r="K41">
        <f t="array" ref="K41">IFERROR(INDEX('射擊表'!$C$2:$C$500,MATCH(1,('射擊表'!$A$2:$A$500=4)*('射擊表'!$B$2:$B$500=J41),0)),NA())</f>
      </c>
      <c r="L41">
        <f t="array" ref="L41">IFERROR(INDEX('射擊表'!$D$2:$D$500,MATCH(1,('射擊表'!$A$2:$A$500=4)*('射擊表'!$B$2:$B$500=J41),0)),NA())</f>
      </c>
      <c r="M41">
        <f t="array" ref="M41">IFERROR(SMALL(IF('射擊表'!$A$2:$A$500=5,'射擊表'!$B$2:$B$500),40),NA())</f>
      </c>
      <c r="N41">
        <f t="array" ref="N41">IFERROR(INDEX('射擊表'!$C$2:$C$500,MATCH(1,('射擊表'!$A$2:$A$500=5)*('射擊表'!$B$2:$B$500=M41),0)),NA())</f>
      </c>
      <c r="O41">
        <f t="array" ref="O41">IFERROR(INDEX('射擊表'!$D$2:$D$500,MATCH(1,('射擊表'!$A$2:$A$500=5)*('射擊表'!$B$2:$B$500=M41),0)),NA())</f>
      </c>
      <c r="P41">
        <f t="array" ref="P41">IFERROR(SMALL(IF('射擊表'!$A$2:$A$500=6,'射擊表'!$B$2:$B$500),40),NA())</f>
      </c>
      <c r="Q41">
        <f t="array" ref="Q41">IFERROR(INDEX('射擊表'!$C$2:$C$500,MATCH(1,('射擊表'!$A$2:$A$500=6)*('射擊表'!$B$2:$B$500=P41),0)),NA())</f>
      </c>
      <c r="R41">
        <f t="array" ref="R41">IFERROR(INDEX('射擊表'!$D$2:$D$500,MATCH(1,('射擊表'!$A$2:$A$500=6)*('射擊表'!$B$2:$B$500=P41),0)),NA())</f>
      </c>
      <c r="S41">
        <f t="array" ref="S41">IFERROR(SMALL(IF('射擊表'!$A$2:$A$500=7,'射擊表'!$B$2:$B$500),40),NA())</f>
      </c>
      <c r="T41">
        <f t="array" ref="T41">IFERROR(INDEX('射擊表'!$C$2:$C$500,MATCH(1,('射擊表'!$A$2:$A$500=7)*('射擊表'!$B$2:$B$500=S41),0)),NA())</f>
      </c>
      <c r="U41">
        <f t="array" ref="U41">IFERROR(INDEX('射擊表'!$D$2:$D$500,MATCH(1,('射擊表'!$A$2:$A$500=7)*('射擊表'!$B$2:$B$500=S41),0)),NA())</f>
      </c>
      <c r="V41">
        <f t="array" ref="V41">IFERROR(SMALL(IF('射擊表'!$A$2:$A$500=8,'射擊表'!$B$2:$B$500),40),NA())</f>
      </c>
      <c r="W41">
        <f t="array" ref="W41">IFERROR(INDEX('射擊表'!$C$2:$C$500,MATCH(1,('射擊表'!$A$2:$A$500=8)*('射擊表'!$B$2:$B$500=V41),0)),NA())</f>
      </c>
      <c r="X41">
        <f t="array" ref="X41">IFERROR(INDEX('射擊表'!$D$2:$D$500,MATCH(1,('射擊表'!$A$2:$A$500=8)*('射擊表'!$B$2:$B$500=V41),0)),NA())</f>
      </c>
      <c r="Y41">
        <f t="array" ref="Y41">IFERROR(SMALL(IF('射擊表'!$A$2:$A$500=9,'射擊表'!$B$2:$B$500),40),NA())</f>
      </c>
      <c r="Z41">
        <f t="array" ref="Z41">IFERROR(INDEX('射擊表'!$C$2:$C$500,MATCH(1,('射擊表'!$A$2:$A$500=9)*('射擊表'!$B$2:$B$500=Y41),0)),NA())</f>
      </c>
      <c r="AA41">
        <f t="array" ref="AA41">IFERROR(INDEX('射擊表'!$D$2:$D$500,MATCH(1,('射擊表'!$A$2:$A$500=9)*('射擊表'!$B$2:$B$500=Y41),0)),NA())</f>
      </c>
    </row>
    <row r="42">
      <c r="A42">
        <f t="array" ref="A42">IFERROR(SMALL(IF('射擊表'!$A$2:$A$500=1,'射擊表'!$B$2:$B$500),41),NA())</f>
      </c>
      <c r="B42">
        <f t="array" ref="B42">IFERROR(INDEX('射擊表'!$C$2:$C$500,MATCH(1,('射擊表'!$A$2:$A$500=1)*('射擊表'!$B$2:$B$500=A42),0)),NA())</f>
      </c>
      <c r="C42">
        <f t="array" ref="C42">IFERROR(INDEX('射擊表'!$D$2:$D$500,MATCH(1,('射擊表'!$A$2:$A$500=1)*('射擊表'!$B$2:$B$500=A42),0)),NA())</f>
      </c>
      <c r="D42">
        <f t="array" ref="D42">IFERROR(SMALL(IF('射擊表'!$A$2:$A$500=2,'射擊表'!$B$2:$B$500),41),NA())</f>
      </c>
      <c r="E42">
        <f t="array" ref="E42">IFERROR(INDEX('射擊表'!$C$2:$C$500,MATCH(1,('射擊表'!$A$2:$A$500=2)*('射擊表'!$B$2:$B$500=D42),0)),NA())</f>
      </c>
      <c r="F42">
        <f t="array" ref="F42">IFERROR(INDEX('射擊表'!$D$2:$D$500,MATCH(1,('射擊表'!$A$2:$A$500=2)*('射擊表'!$B$2:$B$500=D42),0)),NA())</f>
      </c>
      <c r="G42">
        <f t="array" ref="G42">IFERROR(SMALL(IF('射擊表'!$A$2:$A$500=3,'射擊表'!$B$2:$B$500),41),NA())</f>
      </c>
      <c r="H42">
        <f t="array" ref="H42">IFERROR(INDEX('射擊表'!$C$2:$C$500,MATCH(1,('射擊表'!$A$2:$A$500=3)*('射擊表'!$B$2:$B$500=G42),0)),NA())</f>
      </c>
      <c r="I42">
        <f t="array" ref="I42">IFERROR(INDEX('射擊表'!$D$2:$D$500,MATCH(1,('射擊表'!$A$2:$A$500=3)*('射擊表'!$B$2:$B$500=G42),0)),NA())</f>
      </c>
      <c r="J42">
        <f t="array" ref="J42">IFERROR(SMALL(IF('射擊表'!$A$2:$A$500=4,'射擊表'!$B$2:$B$500),41),NA())</f>
      </c>
      <c r="K42">
        <f t="array" ref="K42">IFERROR(INDEX('射擊表'!$C$2:$C$500,MATCH(1,('射擊表'!$A$2:$A$500=4)*('射擊表'!$B$2:$B$500=J42),0)),NA())</f>
      </c>
      <c r="L42">
        <f t="array" ref="L42">IFERROR(INDEX('射擊表'!$D$2:$D$500,MATCH(1,('射擊表'!$A$2:$A$500=4)*('射擊表'!$B$2:$B$500=J42),0)),NA())</f>
      </c>
      <c r="M42">
        <f t="array" ref="M42">IFERROR(SMALL(IF('射擊表'!$A$2:$A$500=5,'射擊表'!$B$2:$B$500),41),NA())</f>
      </c>
      <c r="N42">
        <f t="array" ref="N42">IFERROR(INDEX('射擊表'!$C$2:$C$500,MATCH(1,('射擊表'!$A$2:$A$500=5)*('射擊表'!$B$2:$B$500=M42),0)),NA())</f>
      </c>
      <c r="O42">
        <f t="array" ref="O42">IFERROR(INDEX('射擊表'!$D$2:$D$500,MATCH(1,('射擊表'!$A$2:$A$500=5)*('射擊表'!$B$2:$B$500=M42),0)),NA())</f>
      </c>
      <c r="P42">
        <f t="array" ref="P42">IFERROR(SMALL(IF('射擊表'!$A$2:$A$500=6,'射擊表'!$B$2:$B$500),41),NA())</f>
      </c>
      <c r="Q42">
        <f t="array" ref="Q42">IFERROR(INDEX('射擊表'!$C$2:$C$500,MATCH(1,('射擊表'!$A$2:$A$500=6)*('射擊表'!$B$2:$B$500=P42),0)),NA())</f>
      </c>
      <c r="R42">
        <f t="array" ref="R42">IFERROR(INDEX('射擊表'!$D$2:$D$500,MATCH(1,('射擊表'!$A$2:$A$500=6)*('射擊表'!$B$2:$B$500=P42),0)),NA())</f>
      </c>
      <c r="S42">
        <f t="array" ref="S42">IFERROR(SMALL(IF('射擊表'!$A$2:$A$500=7,'射擊表'!$B$2:$B$500),41),NA())</f>
      </c>
      <c r="T42">
        <f t="array" ref="T42">IFERROR(INDEX('射擊表'!$C$2:$C$500,MATCH(1,('射擊表'!$A$2:$A$500=7)*('射擊表'!$B$2:$B$500=S42),0)),NA())</f>
      </c>
      <c r="U42">
        <f t="array" ref="U42">IFERROR(INDEX('射擊表'!$D$2:$D$500,MATCH(1,('射擊表'!$A$2:$A$500=7)*('射擊表'!$B$2:$B$500=S42),0)),NA())</f>
      </c>
      <c r="V42">
        <f t="array" ref="V42">IFERROR(SMALL(IF('射擊表'!$A$2:$A$500=8,'射擊表'!$B$2:$B$500),41),NA())</f>
      </c>
      <c r="W42">
        <f t="array" ref="W42">IFERROR(INDEX('射擊表'!$C$2:$C$500,MATCH(1,('射擊表'!$A$2:$A$500=8)*('射擊表'!$B$2:$B$500=V42),0)),NA())</f>
      </c>
      <c r="X42">
        <f t="array" ref="X42">IFERROR(INDEX('射擊表'!$D$2:$D$500,MATCH(1,('射擊表'!$A$2:$A$500=8)*('射擊表'!$B$2:$B$500=V42),0)),NA())</f>
      </c>
      <c r="Y42">
        <f t="array" ref="Y42">IFERROR(SMALL(IF('射擊表'!$A$2:$A$500=9,'射擊表'!$B$2:$B$500),41),NA())</f>
      </c>
      <c r="Z42">
        <f t="array" ref="Z42">IFERROR(INDEX('射擊表'!$C$2:$C$500,MATCH(1,('射擊表'!$A$2:$A$500=9)*('射擊表'!$B$2:$B$500=Y42),0)),NA())</f>
      </c>
      <c r="AA42">
        <f t="array" ref="AA42">IFERROR(INDEX('射擊表'!$D$2:$D$500,MATCH(1,('射擊表'!$A$2:$A$500=9)*('射擊表'!$B$2:$B$500=Y42),0)),NA())</f>
      </c>
    </row>
    <row r="43">
      <c r="A43">
        <f t="array" ref="A43">IFERROR(SMALL(IF('射擊表'!$A$2:$A$500=1,'射擊表'!$B$2:$B$500),42),NA())</f>
      </c>
      <c r="B43">
        <f t="array" ref="B43">IFERROR(INDEX('射擊表'!$C$2:$C$500,MATCH(1,('射擊表'!$A$2:$A$500=1)*('射擊表'!$B$2:$B$500=A43),0)),NA())</f>
      </c>
      <c r="C43">
        <f t="array" ref="C43">IFERROR(INDEX('射擊表'!$D$2:$D$500,MATCH(1,('射擊表'!$A$2:$A$500=1)*('射擊表'!$B$2:$B$500=A43),0)),NA())</f>
      </c>
      <c r="D43">
        <f t="array" ref="D43">IFERROR(SMALL(IF('射擊表'!$A$2:$A$500=2,'射擊表'!$B$2:$B$500),42),NA())</f>
      </c>
      <c r="E43">
        <f t="array" ref="E43">IFERROR(INDEX('射擊表'!$C$2:$C$500,MATCH(1,('射擊表'!$A$2:$A$500=2)*('射擊表'!$B$2:$B$500=D43),0)),NA())</f>
      </c>
      <c r="F43">
        <f t="array" ref="F43">IFERROR(INDEX('射擊表'!$D$2:$D$500,MATCH(1,('射擊表'!$A$2:$A$500=2)*('射擊表'!$B$2:$B$500=D43),0)),NA())</f>
      </c>
      <c r="G43">
        <f t="array" ref="G43">IFERROR(SMALL(IF('射擊表'!$A$2:$A$500=3,'射擊表'!$B$2:$B$500),42),NA())</f>
      </c>
      <c r="H43">
        <f t="array" ref="H43">IFERROR(INDEX('射擊表'!$C$2:$C$500,MATCH(1,('射擊表'!$A$2:$A$500=3)*('射擊表'!$B$2:$B$500=G43),0)),NA())</f>
      </c>
      <c r="I43">
        <f t="array" ref="I43">IFERROR(INDEX('射擊表'!$D$2:$D$500,MATCH(1,('射擊表'!$A$2:$A$500=3)*('射擊表'!$B$2:$B$500=G43),0)),NA())</f>
      </c>
      <c r="J43">
        <f t="array" ref="J43">IFERROR(SMALL(IF('射擊表'!$A$2:$A$500=4,'射擊表'!$B$2:$B$500),42),NA())</f>
      </c>
      <c r="K43">
        <f t="array" ref="K43">IFERROR(INDEX('射擊表'!$C$2:$C$500,MATCH(1,('射擊表'!$A$2:$A$500=4)*('射擊表'!$B$2:$B$500=J43),0)),NA())</f>
      </c>
      <c r="L43">
        <f t="array" ref="L43">IFERROR(INDEX('射擊表'!$D$2:$D$500,MATCH(1,('射擊表'!$A$2:$A$500=4)*('射擊表'!$B$2:$B$500=J43),0)),NA())</f>
      </c>
      <c r="M43">
        <f t="array" ref="M43">IFERROR(SMALL(IF('射擊表'!$A$2:$A$500=5,'射擊表'!$B$2:$B$500),42),NA())</f>
      </c>
      <c r="N43">
        <f t="array" ref="N43">IFERROR(INDEX('射擊表'!$C$2:$C$500,MATCH(1,('射擊表'!$A$2:$A$500=5)*('射擊表'!$B$2:$B$500=M43),0)),NA())</f>
      </c>
      <c r="O43">
        <f t="array" ref="O43">IFERROR(INDEX('射擊表'!$D$2:$D$500,MATCH(1,('射擊表'!$A$2:$A$500=5)*('射擊表'!$B$2:$B$500=M43),0)),NA())</f>
      </c>
      <c r="P43">
        <f t="array" ref="P43">IFERROR(SMALL(IF('射擊表'!$A$2:$A$500=6,'射擊表'!$B$2:$B$500),42),NA())</f>
      </c>
      <c r="Q43">
        <f t="array" ref="Q43">IFERROR(INDEX('射擊表'!$C$2:$C$500,MATCH(1,('射擊表'!$A$2:$A$500=6)*('射擊表'!$B$2:$B$500=P43),0)),NA())</f>
      </c>
      <c r="R43">
        <f t="array" ref="R43">IFERROR(INDEX('射擊表'!$D$2:$D$500,MATCH(1,('射擊表'!$A$2:$A$500=6)*('射擊表'!$B$2:$B$500=P43),0)),NA())</f>
      </c>
      <c r="S43">
        <f t="array" ref="S43">IFERROR(SMALL(IF('射擊表'!$A$2:$A$500=7,'射擊表'!$B$2:$B$500),42),NA())</f>
      </c>
      <c r="T43">
        <f t="array" ref="T43">IFERROR(INDEX('射擊表'!$C$2:$C$500,MATCH(1,('射擊表'!$A$2:$A$500=7)*('射擊表'!$B$2:$B$500=S43),0)),NA())</f>
      </c>
      <c r="U43">
        <f t="array" ref="U43">IFERROR(INDEX('射擊表'!$D$2:$D$500,MATCH(1,('射擊表'!$A$2:$A$500=7)*('射擊表'!$B$2:$B$500=S43),0)),NA())</f>
      </c>
      <c r="V43">
        <f t="array" ref="V43">IFERROR(SMALL(IF('射擊表'!$A$2:$A$500=8,'射擊表'!$B$2:$B$500),42),NA())</f>
      </c>
      <c r="W43">
        <f t="array" ref="W43">IFERROR(INDEX('射擊表'!$C$2:$C$500,MATCH(1,('射擊表'!$A$2:$A$500=8)*('射擊表'!$B$2:$B$500=V43),0)),NA())</f>
      </c>
      <c r="X43">
        <f t="array" ref="X43">IFERROR(INDEX('射擊表'!$D$2:$D$500,MATCH(1,('射擊表'!$A$2:$A$500=8)*('射擊表'!$B$2:$B$500=V43),0)),NA())</f>
      </c>
      <c r="Y43">
        <f t="array" ref="Y43">IFERROR(SMALL(IF('射擊表'!$A$2:$A$500=9,'射擊表'!$B$2:$B$500),42),NA())</f>
      </c>
      <c r="Z43">
        <f t="array" ref="Z43">IFERROR(INDEX('射擊表'!$C$2:$C$500,MATCH(1,('射擊表'!$A$2:$A$500=9)*('射擊表'!$B$2:$B$500=Y43),0)),NA())</f>
      </c>
      <c r="AA43">
        <f t="array" ref="AA43">IFERROR(INDEX('射擊表'!$D$2:$D$500,MATCH(1,('射擊表'!$A$2:$A$500=9)*('射擊表'!$B$2:$B$500=Y43),0)),NA())</f>
      </c>
    </row>
    <row r="44">
      <c r="A44">
        <f t="array" ref="A44">IFERROR(SMALL(IF('射擊表'!$A$2:$A$500=1,'射擊表'!$B$2:$B$500),43),NA())</f>
      </c>
      <c r="B44">
        <f t="array" ref="B44">IFERROR(INDEX('射擊表'!$C$2:$C$500,MATCH(1,('射擊表'!$A$2:$A$500=1)*('射擊表'!$B$2:$B$500=A44),0)),NA())</f>
      </c>
      <c r="C44">
        <f t="array" ref="C44">IFERROR(INDEX('射擊表'!$D$2:$D$500,MATCH(1,('射擊表'!$A$2:$A$500=1)*('射擊表'!$B$2:$B$500=A44),0)),NA())</f>
      </c>
      <c r="D44">
        <f t="array" ref="D44">IFERROR(SMALL(IF('射擊表'!$A$2:$A$500=2,'射擊表'!$B$2:$B$500),43),NA())</f>
      </c>
      <c r="E44">
        <f t="array" ref="E44">IFERROR(INDEX('射擊表'!$C$2:$C$500,MATCH(1,('射擊表'!$A$2:$A$500=2)*('射擊表'!$B$2:$B$500=D44),0)),NA())</f>
      </c>
      <c r="F44">
        <f t="array" ref="F44">IFERROR(INDEX('射擊表'!$D$2:$D$500,MATCH(1,('射擊表'!$A$2:$A$500=2)*('射擊表'!$B$2:$B$500=D44),0)),NA())</f>
      </c>
      <c r="G44">
        <f t="array" ref="G44">IFERROR(SMALL(IF('射擊表'!$A$2:$A$500=3,'射擊表'!$B$2:$B$500),43),NA())</f>
      </c>
      <c r="H44">
        <f t="array" ref="H44">IFERROR(INDEX('射擊表'!$C$2:$C$500,MATCH(1,('射擊表'!$A$2:$A$500=3)*('射擊表'!$B$2:$B$500=G44),0)),NA())</f>
      </c>
      <c r="I44">
        <f t="array" ref="I44">IFERROR(INDEX('射擊表'!$D$2:$D$500,MATCH(1,('射擊表'!$A$2:$A$500=3)*('射擊表'!$B$2:$B$500=G44),0)),NA())</f>
      </c>
      <c r="J44">
        <f t="array" ref="J44">IFERROR(SMALL(IF('射擊表'!$A$2:$A$500=4,'射擊表'!$B$2:$B$500),43),NA())</f>
      </c>
      <c r="K44">
        <f t="array" ref="K44">IFERROR(INDEX('射擊表'!$C$2:$C$500,MATCH(1,('射擊表'!$A$2:$A$500=4)*('射擊表'!$B$2:$B$500=J44),0)),NA())</f>
      </c>
      <c r="L44">
        <f t="array" ref="L44">IFERROR(INDEX('射擊表'!$D$2:$D$500,MATCH(1,('射擊表'!$A$2:$A$500=4)*('射擊表'!$B$2:$B$500=J44),0)),NA())</f>
      </c>
      <c r="M44">
        <f t="array" ref="M44">IFERROR(SMALL(IF('射擊表'!$A$2:$A$500=5,'射擊表'!$B$2:$B$500),43),NA())</f>
      </c>
      <c r="N44">
        <f t="array" ref="N44">IFERROR(INDEX('射擊表'!$C$2:$C$500,MATCH(1,('射擊表'!$A$2:$A$500=5)*('射擊表'!$B$2:$B$500=M44),0)),NA())</f>
      </c>
      <c r="O44">
        <f t="array" ref="O44">IFERROR(INDEX('射擊表'!$D$2:$D$500,MATCH(1,('射擊表'!$A$2:$A$500=5)*('射擊表'!$B$2:$B$500=M44),0)),NA())</f>
      </c>
      <c r="P44">
        <f t="array" ref="P44">IFERROR(SMALL(IF('射擊表'!$A$2:$A$500=6,'射擊表'!$B$2:$B$500),43),NA())</f>
      </c>
      <c r="Q44">
        <f t="array" ref="Q44">IFERROR(INDEX('射擊表'!$C$2:$C$500,MATCH(1,('射擊表'!$A$2:$A$500=6)*('射擊表'!$B$2:$B$500=P44),0)),NA())</f>
      </c>
      <c r="R44">
        <f t="array" ref="R44">IFERROR(INDEX('射擊表'!$D$2:$D$500,MATCH(1,('射擊表'!$A$2:$A$500=6)*('射擊表'!$B$2:$B$500=P44),0)),NA())</f>
      </c>
      <c r="S44">
        <f t="array" ref="S44">IFERROR(SMALL(IF('射擊表'!$A$2:$A$500=7,'射擊表'!$B$2:$B$500),43),NA())</f>
      </c>
      <c r="T44">
        <f t="array" ref="T44">IFERROR(INDEX('射擊表'!$C$2:$C$500,MATCH(1,('射擊表'!$A$2:$A$500=7)*('射擊表'!$B$2:$B$500=S44),0)),NA())</f>
      </c>
      <c r="U44">
        <f t="array" ref="U44">IFERROR(INDEX('射擊表'!$D$2:$D$500,MATCH(1,('射擊表'!$A$2:$A$500=7)*('射擊表'!$B$2:$B$500=S44),0)),NA())</f>
      </c>
      <c r="V44">
        <f t="array" ref="V44">IFERROR(SMALL(IF('射擊表'!$A$2:$A$500=8,'射擊表'!$B$2:$B$500),43),NA())</f>
      </c>
      <c r="W44">
        <f t="array" ref="W44">IFERROR(INDEX('射擊表'!$C$2:$C$500,MATCH(1,('射擊表'!$A$2:$A$500=8)*('射擊表'!$B$2:$B$500=V44),0)),NA())</f>
      </c>
      <c r="X44">
        <f t="array" ref="X44">IFERROR(INDEX('射擊表'!$D$2:$D$500,MATCH(1,('射擊表'!$A$2:$A$500=8)*('射擊表'!$B$2:$B$500=V44),0)),NA())</f>
      </c>
      <c r="Y44">
        <f t="array" ref="Y44">IFERROR(SMALL(IF('射擊表'!$A$2:$A$500=9,'射擊表'!$B$2:$B$500),43),NA())</f>
      </c>
      <c r="Z44">
        <f t="array" ref="Z44">IFERROR(INDEX('射擊表'!$C$2:$C$500,MATCH(1,('射擊表'!$A$2:$A$500=9)*('射擊表'!$B$2:$B$500=Y44),0)),NA())</f>
      </c>
      <c r="AA44">
        <f t="array" ref="AA44">IFERROR(INDEX('射擊表'!$D$2:$D$500,MATCH(1,('射擊表'!$A$2:$A$500=9)*('射擊表'!$B$2:$B$500=Y44),0)),NA())</f>
      </c>
    </row>
    <row r="45">
      <c r="A45">
        <f t="array" ref="A45">IFERROR(SMALL(IF('射擊表'!$A$2:$A$500=1,'射擊表'!$B$2:$B$500),44),NA())</f>
      </c>
      <c r="B45">
        <f t="array" ref="B45">IFERROR(INDEX('射擊表'!$C$2:$C$500,MATCH(1,('射擊表'!$A$2:$A$500=1)*('射擊表'!$B$2:$B$500=A45),0)),NA())</f>
      </c>
      <c r="C45">
        <f t="array" ref="C45">IFERROR(INDEX('射擊表'!$D$2:$D$500,MATCH(1,('射擊表'!$A$2:$A$500=1)*('射擊表'!$B$2:$B$500=A45),0)),NA())</f>
      </c>
      <c r="D45">
        <f t="array" ref="D45">IFERROR(SMALL(IF('射擊表'!$A$2:$A$500=2,'射擊表'!$B$2:$B$500),44),NA())</f>
      </c>
      <c r="E45">
        <f t="array" ref="E45">IFERROR(INDEX('射擊表'!$C$2:$C$500,MATCH(1,('射擊表'!$A$2:$A$500=2)*('射擊表'!$B$2:$B$500=D45),0)),NA())</f>
      </c>
      <c r="F45">
        <f t="array" ref="F45">IFERROR(INDEX('射擊表'!$D$2:$D$500,MATCH(1,('射擊表'!$A$2:$A$500=2)*('射擊表'!$B$2:$B$500=D45),0)),NA())</f>
      </c>
      <c r="G45">
        <f t="array" ref="G45">IFERROR(SMALL(IF('射擊表'!$A$2:$A$500=3,'射擊表'!$B$2:$B$500),44),NA())</f>
      </c>
      <c r="H45">
        <f t="array" ref="H45">IFERROR(INDEX('射擊表'!$C$2:$C$500,MATCH(1,('射擊表'!$A$2:$A$500=3)*('射擊表'!$B$2:$B$500=G45),0)),NA())</f>
      </c>
      <c r="I45">
        <f t="array" ref="I45">IFERROR(INDEX('射擊表'!$D$2:$D$500,MATCH(1,('射擊表'!$A$2:$A$500=3)*('射擊表'!$B$2:$B$500=G45),0)),NA())</f>
      </c>
      <c r="J45">
        <f t="array" ref="J45">IFERROR(SMALL(IF('射擊表'!$A$2:$A$500=4,'射擊表'!$B$2:$B$500),44),NA())</f>
      </c>
      <c r="K45">
        <f t="array" ref="K45">IFERROR(INDEX('射擊表'!$C$2:$C$500,MATCH(1,('射擊表'!$A$2:$A$500=4)*('射擊表'!$B$2:$B$500=J45),0)),NA())</f>
      </c>
      <c r="L45">
        <f t="array" ref="L45">IFERROR(INDEX('射擊表'!$D$2:$D$500,MATCH(1,('射擊表'!$A$2:$A$500=4)*('射擊表'!$B$2:$B$500=J45),0)),NA())</f>
      </c>
      <c r="M45">
        <f t="array" ref="M45">IFERROR(SMALL(IF('射擊表'!$A$2:$A$500=5,'射擊表'!$B$2:$B$500),44),NA())</f>
      </c>
      <c r="N45">
        <f t="array" ref="N45">IFERROR(INDEX('射擊表'!$C$2:$C$500,MATCH(1,('射擊表'!$A$2:$A$500=5)*('射擊表'!$B$2:$B$500=M45),0)),NA())</f>
      </c>
      <c r="O45">
        <f t="array" ref="O45">IFERROR(INDEX('射擊表'!$D$2:$D$500,MATCH(1,('射擊表'!$A$2:$A$500=5)*('射擊表'!$B$2:$B$500=M45),0)),NA())</f>
      </c>
      <c r="P45">
        <f t="array" ref="P45">IFERROR(SMALL(IF('射擊表'!$A$2:$A$500=6,'射擊表'!$B$2:$B$500),44),NA())</f>
      </c>
      <c r="Q45">
        <f t="array" ref="Q45">IFERROR(INDEX('射擊表'!$C$2:$C$500,MATCH(1,('射擊表'!$A$2:$A$500=6)*('射擊表'!$B$2:$B$500=P45),0)),NA())</f>
      </c>
      <c r="R45">
        <f t="array" ref="R45">IFERROR(INDEX('射擊表'!$D$2:$D$500,MATCH(1,('射擊表'!$A$2:$A$500=6)*('射擊表'!$B$2:$B$500=P45),0)),NA())</f>
      </c>
      <c r="S45">
        <f t="array" ref="S45">IFERROR(SMALL(IF('射擊表'!$A$2:$A$500=7,'射擊表'!$B$2:$B$500),44),NA())</f>
      </c>
      <c r="T45">
        <f t="array" ref="T45">IFERROR(INDEX('射擊表'!$C$2:$C$500,MATCH(1,('射擊表'!$A$2:$A$500=7)*('射擊表'!$B$2:$B$500=S45),0)),NA())</f>
      </c>
      <c r="U45">
        <f t="array" ref="U45">IFERROR(INDEX('射擊表'!$D$2:$D$500,MATCH(1,('射擊表'!$A$2:$A$500=7)*('射擊表'!$B$2:$B$500=S45),0)),NA())</f>
      </c>
      <c r="V45">
        <f t="array" ref="V45">IFERROR(SMALL(IF('射擊表'!$A$2:$A$500=8,'射擊表'!$B$2:$B$500),44),NA())</f>
      </c>
      <c r="W45">
        <f t="array" ref="W45">IFERROR(INDEX('射擊表'!$C$2:$C$500,MATCH(1,('射擊表'!$A$2:$A$500=8)*('射擊表'!$B$2:$B$500=V45),0)),NA())</f>
      </c>
      <c r="X45">
        <f t="array" ref="X45">IFERROR(INDEX('射擊表'!$D$2:$D$500,MATCH(1,('射擊表'!$A$2:$A$500=8)*('射擊表'!$B$2:$B$500=V45),0)),NA())</f>
      </c>
      <c r="Y45">
        <f t="array" ref="Y45">IFERROR(SMALL(IF('射擊表'!$A$2:$A$500=9,'射擊表'!$B$2:$B$500),44),NA())</f>
      </c>
      <c r="Z45">
        <f t="array" ref="Z45">IFERROR(INDEX('射擊表'!$C$2:$C$500,MATCH(1,('射擊表'!$A$2:$A$500=9)*('射擊表'!$B$2:$B$500=Y45),0)),NA())</f>
      </c>
      <c r="AA45">
        <f t="array" ref="AA45">IFERROR(INDEX('射擊表'!$D$2:$D$500,MATCH(1,('射擊表'!$A$2:$A$500=9)*('射擊表'!$B$2:$B$500=Y45),0)),NA())</f>
      </c>
    </row>
    <row r="46">
      <c r="A46">
        <f t="array" ref="A46">IFERROR(SMALL(IF('射擊表'!$A$2:$A$500=1,'射擊表'!$B$2:$B$500),45),NA())</f>
      </c>
      <c r="B46">
        <f t="array" ref="B46">IFERROR(INDEX('射擊表'!$C$2:$C$500,MATCH(1,('射擊表'!$A$2:$A$500=1)*('射擊表'!$B$2:$B$500=A46),0)),NA())</f>
      </c>
      <c r="C46">
        <f t="array" ref="C46">IFERROR(INDEX('射擊表'!$D$2:$D$500,MATCH(1,('射擊表'!$A$2:$A$500=1)*('射擊表'!$B$2:$B$500=A46),0)),NA())</f>
      </c>
      <c r="D46">
        <f t="array" ref="D46">IFERROR(SMALL(IF('射擊表'!$A$2:$A$500=2,'射擊表'!$B$2:$B$500),45),NA())</f>
      </c>
      <c r="E46">
        <f t="array" ref="E46">IFERROR(INDEX('射擊表'!$C$2:$C$500,MATCH(1,('射擊表'!$A$2:$A$500=2)*('射擊表'!$B$2:$B$500=D46),0)),NA())</f>
      </c>
      <c r="F46">
        <f t="array" ref="F46">IFERROR(INDEX('射擊表'!$D$2:$D$500,MATCH(1,('射擊表'!$A$2:$A$500=2)*('射擊表'!$B$2:$B$500=D46),0)),NA())</f>
      </c>
      <c r="G46">
        <f t="array" ref="G46">IFERROR(SMALL(IF('射擊表'!$A$2:$A$500=3,'射擊表'!$B$2:$B$500),45),NA())</f>
      </c>
      <c r="H46">
        <f t="array" ref="H46">IFERROR(INDEX('射擊表'!$C$2:$C$500,MATCH(1,('射擊表'!$A$2:$A$500=3)*('射擊表'!$B$2:$B$500=G46),0)),NA())</f>
      </c>
      <c r="I46">
        <f t="array" ref="I46">IFERROR(INDEX('射擊表'!$D$2:$D$500,MATCH(1,('射擊表'!$A$2:$A$500=3)*('射擊表'!$B$2:$B$500=G46),0)),NA())</f>
      </c>
      <c r="J46">
        <f t="array" ref="J46">IFERROR(SMALL(IF('射擊表'!$A$2:$A$500=4,'射擊表'!$B$2:$B$500),45),NA())</f>
      </c>
      <c r="K46">
        <f t="array" ref="K46">IFERROR(INDEX('射擊表'!$C$2:$C$500,MATCH(1,('射擊表'!$A$2:$A$500=4)*('射擊表'!$B$2:$B$500=J46),0)),NA())</f>
      </c>
      <c r="L46">
        <f t="array" ref="L46">IFERROR(INDEX('射擊表'!$D$2:$D$500,MATCH(1,('射擊表'!$A$2:$A$500=4)*('射擊表'!$B$2:$B$500=J46),0)),NA())</f>
      </c>
      <c r="M46">
        <f t="array" ref="M46">IFERROR(SMALL(IF('射擊表'!$A$2:$A$500=5,'射擊表'!$B$2:$B$500),45),NA())</f>
      </c>
      <c r="N46">
        <f t="array" ref="N46">IFERROR(INDEX('射擊表'!$C$2:$C$500,MATCH(1,('射擊表'!$A$2:$A$500=5)*('射擊表'!$B$2:$B$500=M46),0)),NA())</f>
      </c>
      <c r="O46">
        <f t="array" ref="O46">IFERROR(INDEX('射擊表'!$D$2:$D$500,MATCH(1,('射擊表'!$A$2:$A$500=5)*('射擊表'!$B$2:$B$500=M46),0)),NA())</f>
      </c>
      <c r="P46">
        <f t="array" ref="P46">IFERROR(SMALL(IF('射擊表'!$A$2:$A$500=6,'射擊表'!$B$2:$B$500),45),NA())</f>
      </c>
      <c r="Q46">
        <f t="array" ref="Q46">IFERROR(INDEX('射擊表'!$C$2:$C$500,MATCH(1,('射擊表'!$A$2:$A$500=6)*('射擊表'!$B$2:$B$500=P46),0)),NA())</f>
      </c>
      <c r="R46">
        <f t="array" ref="R46">IFERROR(INDEX('射擊表'!$D$2:$D$500,MATCH(1,('射擊表'!$A$2:$A$500=6)*('射擊表'!$B$2:$B$500=P46),0)),NA())</f>
      </c>
      <c r="S46">
        <f t="array" ref="S46">IFERROR(SMALL(IF('射擊表'!$A$2:$A$500=7,'射擊表'!$B$2:$B$500),45),NA())</f>
      </c>
      <c r="T46">
        <f t="array" ref="T46">IFERROR(INDEX('射擊表'!$C$2:$C$500,MATCH(1,('射擊表'!$A$2:$A$500=7)*('射擊表'!$B$2:$B$500=S46),0)),NA())</f>
      </c>
      <c r="U46">
        <f t="array" ref="U46">IFERROR(INDEX('射擊表'!$D$2:$D$500,MATCH(1,('射擊表'!$A$2:$A$500=7)*('射擊表'!$B$2:$B$500=S46),0)),NA())</f>
      </c>
      <c r="V46">
        <f t="array" ref="V46">IFERROR(SMALL(IF('射擊表'!$A$2:$A$500=8,'射擊表'!$B$2:$B$500),45),NA())</f>
      </c>
      <c r="W46">
        <f t="array" ref="W46">IFERROR(INDEX('射擊表'!$C$2:$C$500,MATCH(1,('射擊表'!$A$2:$A$500=8)*('射擊表'!$B$2:$B$500=V46),0)),NA())</f>
      </c>
      <c r="X46">
        <f t="array" ref="X46">IFERROR(INDEX('射擊表'!$D$2:$D$500,MATCH(1,('射擊表'!$A$2:$A$500=8)*('射擊表'!$B$2:$B$500=V46),0)),NA())</f>
      </c>
      <c r="Y46">
        <f t="array" ref="Y46">IFERROR(SMALL(IF('射擊表'!$A$2:$A$500=9,'射擊表'!$B$2:$B$500),45),NA())</f>
      </c>
      <c r="Z46">
        <f t="array" ref="Z46">IFERROR(INDEX('射擊表'!$C$2:$C$500,MATCH(1,('射擊表'!$A$2:$A$500=9)*('射擊表'!$B$2:$B$500=Y46),0)),NA())</f>
      </c>
      <c r="AA46">
        <f t="array" ref="AA46">IFERROR(INDEX('射擊表'!$D$2:$D$500,MATCH(1,('射擊表'!$A$2:$A$500=9)*('射擊表'!$B$2:$B$500=Y46),0)),NA())</f>
      </c>
    </row>
    <row r="47">
      <c r="A47">
        <f t="array" ref="A47">IFERROR(SMALL(IF('射擊表'!$A$2:$A$500=1,'射擊表'!$B$2:$B$500),46),NA())</f>
      </c>
      <c r="B47">
        <f t="array" ref="B47">IFERROR(INDEX('射擊表'!$C$2:$C$500,MATCH(1,('射擊表'!$A$2:$A$500=1)*('射擊表'!$B$2:$B$500=A47),0)),NA())</f>
      </c>
      <c r="C47">
        <f t="array" ref="C47">IFERROR(INDEX('射擊表'!$D$2:$D$500,MATCH(1,('射擊表'!$A$2:$A$500=1)*('射擊表'!$B$2:$B$500=A47),0)),NA())</f>
      </c>
      <c r="D47">
        <f t="array" ref="D47">IFERROR(SMALL(IF('射擊表'!$A$2:$A$500=2,'射擊表'!$B$2:$B$500),46),NA())</f>
      </c>
      <c r="E47">
        <f t="array" ref="E47">IFERROR(INDEX('射擊表'!$C$2:$C$500,MATCH(1,('射擊表'!$A$2:$A$500=2)*('射擊表'!$B$2:$B$500=D47),0)),NA())</f>
      </c>
      <c r="F47">
        <f t="array" ref="F47">IFERROR(INDEX('射擊表'!$D$2:$D$500,MATCH(1,('射擊表'!$A$2:$A$500=2)*('射擊表'!$B$2:$B$500=D47),0)),NA())</f>
      </c>
      <c r="G47">
        <f t="array" ref="G47">IFERROR(SMALL(IF('射擊表'!$A$2:$A$500=3,'射擊表'!$B$2:$B$500),46),NA())</f>
      </c>
      <c r="H47">
        <f t="array" ref="H47">IFERROR(INDEX('射擊表'!$C$2:$C$500,MATCH(1,('射擊表'!$A$2:$A$500=3)*('射擊表'!$B$2:$B$500=G47),0)),NA())</f>
      </c>
      <c r="I47">
        <f t="array" ref="I47">IFERROR(INDEX('射擊表'!$D$2:$D$500,MATCH(1,('射擊表'!$A$2:$A$500=3)*('射擊表'!$B$2:$B$500=G47),0)),NA())</f>
      </c>
      <c r="J47">
        <f t="array" ref="J47">IFERROR(SMALL(IF('射擊表'!$A$2:$A$500=4,'射擊表'!$B$2:$B$500),46),NA())</f>
      </c>
      <c r="K47">
        <f t="array" ref="K47">IFERROR(INDEX('射擊表'!$C$2:$C$500,MATCH(1,('射擊表'!$A$2:$A$500=4)*('射擊表'!$B$2:$B$500=J47),0)),NA())</f>
      </c>
      <c r="L47">
        <f t="array" ref="L47">IFERROR(INDEX('射擊表'!$D$2:$D$500,MATCH(1,('射擊表'!$A$2:$A$500=4)*('射擊表'!$B$2:$B$500=J47),0)),NA())</f>
      </c>
      <c r="M47">
        <f t="array" ref="M47">IFERROR(SMALL(IF('射擊表'!$A$2:$A$500=5,'射擊表'!$B$2:$B$500),46),NA())</f>
      </c>
      <c r="N47">
        <f t="array" ref="N47">IFERROR(INDEX('射擊表'!$C$2:$C$500,MATCH(1,('射擊表'!$A$2:$A$500=5)*('射擊表'!$B$2:$B$500=M47),0)),NA())</f>
      </c>
      <c r="O47">
        <f t="array" ref="O47">IFERROR(INDEX('射擊表'!$D$2:$D$500,MATCH(1,('射擊表'!$A$2:$A$500=5)*('射擊表'!$B$2:$B$500=M47),0)),NA())</f>
      </c>
      <c r="P47">
        <f t="array" ref="P47">IFERROR(SMALL(IF('射擊表'!$A$2:$A$500=6,'射擊表'!$B$2:$B$500),46),NA())</f>
      </c>
      <c r="Q47">
        <f t="array" ref="Q47">IFERROR(INDEX('射擊表'!$C$2:$C$500,MATCH(1,('射擊表'!$A$2:$A$500=6)*('射擊表'!$B$2:$B$500=P47),0)),NA())</f>
      </c>
      <c r="R47">
        <f t="array" ref="R47">IFERROR(INDEX('射擊表'!$D$2:$D$500,MATCH(1,('射擊表'!$A$2:$A$500=6)*('射擊表'!$B$2:$B$500=P47),0)),NA())</f>
      </c>
      <c r="S47">
        <f t="array" ref="S47">IFERROR(SMALL(IF('射擊表'!$A$2:$A$500=7,'射擊表'!$B$2:$B$500),46),NA())</f>
      </c>
      <c r="T47">
        <f t="array" ref="T47">IFERROR(INDEX('射擊表'!$C$2:$C$500,MATCH(1,('射擊表'!$A$2:$A$500=7)*('射擊表'!$B$2:$B$500=S47),0)),NA())</f>
      </c>
      <c r="U47">
        <f t="array" ref="U47">IFERROR(INDEX('射擊表'!$D$2:$D$500,MATCH(1,('射擊表'!$A$2:$A$500=7)*('射擊表'!$B$2:$B$500=S47),0)),NA())</f>
      </c>
      <c r="V47">
        <f t="array" ref="V47">IFERROR(SMALL(IF('射擊表'!$A$2:$A$500=8,'射擊表'!$B$2:$B$500),46),NA())</f>
      </c>
      <c r="W47">
        <f t="array" ref="W47">IFERROR(INDEX('射擊表'!$C$2:$C$500,MATCH(1,('射擊表'!$A$2:$A$500=8)*('射擊表'!$B$2:$B$500=V47),0)),NA())</f>
      </c>
      <c r="X47">
        <f t="array" ref="X47">IFERROR(INDEX('射擊表'!$D$2:$D$500,MATCH(1,('射擊表'!$A$2:$A$500=8)*('射擊表'!$B$2:$B$500=V47),0)),NA())</f>
      </c>
      <c r="Y47">
        <f t="array" ref="Y47">IFERROR(SMALL(IF('射擊表'!$A$2:$A$500=9,'射擊表'!$B$2:$B$500),46),NA())</f>
      </c>
      <c r="Z47">
        <f t="array" ref="Z47">IFERROR(INDEX('射擊表'!$C$2:$C$500,MATCH(1,('射擊表'!$A$2:$A$500=9)*('射擊表'!$B$2:$B$500=Y47),0)),NA())</f>
      </c>
      <c r="AA47">
        <f t="array" ref="AA47">IFERROR(INDEX('射擊表'!$D$2:$D$500,MATCH(1,('射擊表'!$A$2:$A$500=9)*('射擊表'!$B$2:$B$500=Y47),0)),NA())</f>
      </c>
    </row>
    <row r="48">
      <c r="A48">
        <f t="array" ref="A48">IFERROR(SMALL(IF('射擊表'!$A$2:$A$500=1,'射擊表'!$B$2:$B$500),47),NA())</f>
      </c>
      <c r="B48">
        <f t="array" ref="B48">IFERROR(INDEX('射擊表'!$C$2:$C$500,MATCH(1,('射擊表'!$A$2:$A$500=1)*('射擊表'!$B$2:$B$500=A48),0)),NA())</f>
      </c>
      <c r="C48">
        <f t="array" ref="C48">IFERROR(INDEX('射擊表'!$D$2:$D$500,MATCH(1,('射擊表'!$A$2:$A$500=1)*('射擊表'!$B$2:$B$500=A48),0)),NA())</f>
      </c>
      <c r="D48">
        <f t="array" ref="D48">IFERROR(SMALL(IF('射擊表'!$A$2:$A$500=2,'射擊表'!$B$2:$B$500),47),NA())</f>
      </c>
      <c r="E48">
        <f t="array" ref="E48">IFERROR(INDEX('射擊表'!$C$2:$C$500,MATCH(1,('射擊表'!$A$2:$A$500=2)*('射擊表'!$B$2:$B$500=D48),0)),NA())</f>
      </c>
      <c r="F48">
        <f t="array" ref="F48">IFERROR(INDEX('射擊表'!$D$2:$D$500,MATCH(1,('射擊表'!$A$2:$A$500=2)*('射擊表'!$B$2:$B$500=D48),0)),NA())</f>
      </c>
      <c r="G48">
        <f t="array" ref="G48">IFERROR(SMALL(IF('射擊表'!$A$2:$A$500=3,'射擊表'!$B$2:$B$500),47),NA())</f>
      </c>
      <c r="H48">
        <f t="array" ref="H48">IFERROR(INDEX('射擊表'!$C$2:$C$500,MATCH(1,('射擊表'!$A$2:$A$500=3)*('射擊表'!$B$2:$B$500=G48),0)),NA())</f>
      </c>
      <c r="I48">
        <f t="array" ref="I48">IFERROR(INDEX('射擊表'!$D$2:$D$500,MATCH(1,('射擊表'!$A$2:$A$500=3)*('射擊表'!$B$2:$B$500=G48),0)),NA())</f>
      </c>
      <c r="J48">
        <f t="array" ref="J48">IFERROR(SMALL(IF('射擊表'!$A$2:$A$500=4,'射擊表'!$B$2:$B$500),47),NA())</f>
      </c>
      <c r="K48">
        <f t="array" ref="K48">IFERROR(INDEX('射擊表'!$C$2:$C$500,MATCH(1,('射擊表'!$A$2:$A$500=4)*('射擊表'!$B$2:$B$500=J48),0)),NA())</f>
      </c>
      <c r="L48">
        <f t="array" ref="L48">IFERROR(INDEX('射擊表'!$D$2:$D$500,MATCH(1,('射擊表'!$A$2:$A$500=4)*('射擊表'!$B$2:$B$500=J48),0)),NA())</f>
      </c>
      <c r="M48">
        <f t="array" ref="M48">IFERROR(SMALL(IF('射擊表'!$A$2:$A$500=5,'射擊表'!$B$2:$B$500),47),NA())</f>
      </c>
      <c r="N48">
        <f t="array" ref="N48">IFERROR(INDEX('射擊表'!$C$2:$C$500,MATCH(1,('射擊表'!$A$2:$A$500=5)*('射擊表'!$B$2:$B$500=M48),0)),NA())</f>
      </c>
      <c r="O48">
        <f t="array" ref="O48">IFERROR(INDEX('射擊表'!$D$2:$D$500,MATCH(1,('射擊表'!$A$2:$A$500=5)*('射擊表'!$B$2:$B$500=M48),0)),NA())</f>
      </c>
      <c r="P48">
        <f t="array" ref="P48">IFERROR(SMALL(IF('射擊表'!$A$2:$A$500=6,'射擊表'!$B$2:$B$500),47),NA())</f>
      </c>
      <c r="Q48">
        <f t="array" ref="Q48">IFERROR(INDEX('射擊表'!$C$2:$C$500,MATCH(1,('射擊表'!$A$2:$A$500=6)*('射擊表'!$B$2:$B$500=P48),0)),NA())</f>
      </c>
      <c r="R48">
        <f t="array" ref="R48">IFERROR(INDEX('射擊表'!$D$2:$D$500,MATCH(1,('射擊表'!$A$2:$A$500=6)*('射擊表'!$B$2:$B$500=P48),0)),NA())</f>
      </c>
      <c r="S48">
        <f t="array" ref="S48">IFERROR(SMALL(IF('射擊表'!$A$2:$A$500=7,'射擊表'!$B$2:$B$500),47),NA())</f>
      </c>
      <c r="T48">
        <f t="array" ref="T48">IFERROR(INDEX('射擊表'!$C$2:$C$500,MATCH(1,('射擊表'!$A$2:$A$500=7)*('射擊表'!$B$2:$B$500=S48),0)),NA())</f>
      </c>
      <c r="U48">
        <f t="array" ref="U48">IFERROR(INDEX('射擊表'!$D$2:$D$500,MATCH(1,('射擊表'!$A$2:$A$500=7)*('射擊表'!$B$2:$B$500=S48),0)),NA())</f>
      </c>
      <c r="V48">
        <f t="array" ref="V48">IFERROR(SMALL(IF('射擊表'!$A$2:$A$500=8,'射擊表'!$B$2:$B$500),47),NA())</f>
      </c>
      <c r="W48">
        <f t="array" ref="W48">IFERROR(INDEX('射擊表'!$C$2:$C$500,MATCH(1,('射擊表'!$A$2:$A$500=8)*('射擊表'!$B$2:$B$500=V48),0)),NA())</f>
      </c>
      <c r="X48">
        <f t="array" ref="X48">IFERROR(INDEX('射擊表'!$D$2:$D$500,MATCH(1,('射擊表'!$A$2:$A$500=8)*('射擊表'!$B$2:$B$500=V48),0)),NA())</f>
      </c>
      <c r="Y48">
        <f t="array" ref="Y48">IFERROR(SMALL(IF('射擊表'!$A$2:$A$500=9,'射擊表'!$B$2:$B$500),47),NA())</f>
      </c>
      <c r="Z48">
        <f t="array" ref="Z48">IFERROR(INDEX('射擊表'!$C$2:$C$500,MATCH(1,('射擊表'!$A$2:$A$500=9)*('射擊表'!$B$2:$B$500=Y48),0)),NA())</f>
      </c>
      <c r="AA48">
        <f t="array" ref="AA48">IFERROR(INDEX('射擊表'!$D$2:$D$500,MATCH(1,('射擊表'!$A$2:$A$500=9)*('射擊表'!$B$2:$B$500=Y48),0)),NA())</f>
      </c>
    </row>
    <row r="49">
      <c r="A49">
        <f t="array" ref="A49">IFERROR(SMALL(IF('射擊表'!$A$2:$A$500=1,'射擊表'!$B$2:$B$500),48),NA())</f>
      </c>
      <c r="B49">
        <f t="array" ref="B49">IFERROR(INDEX('射擊表'!$C$2:$C$500,MATCH(1,('射擊表'!$A$2:$A$500=1)*('射擊表'!$B$2:$B$500=A49),0)),NA())</f>
      </c>
      <c r="C49">
        <f t="array" ref="C49">IFERROR(INDEX('射擊表'!$D$2:$D$500,MATCH(1,('射擊表'!$A$2:$A$500=1)*('射擊表'!$B$2:$B$500=A49),0)),NA())</f>
      </c>
      <c r="D49">
        <f t="array" ref="D49">IFERROR(SMALL(IF('射擊表'!$A$2:$A$500=2,'射擊表'!$B$2:$B$500),48),NA())</f>
      </c>
      <c r="E49">
        <f t="array" ref="E49">IFERROR(INDEX('射擊表'!$C$2:$C$500,MATCH(1,('射擊表'!$A$2:$A$500=2)*('射擊表'!$B$2:$B$500=D49),0)),NA())</f>
      </c>
      <c r="F49">
        <f t="array" ref="F49">IFERROR(INDEX('射擊表'!$D$2:$D$500,MATCH(1,('射擊表'!$A$2:$A$500=2)*('射擊表'!$B$2:$B$500=D49),0)),NA())</f>
      </c>
      <c r="G49">
        <f t="array" ref="G49">IFERROR(SMALL(IF('射擊表'!$A$2:$A$500=3,'射擊表'!$B$2:$B$500),48),NA())</f>
      </c>
      <c r="H49">
        <f t="array" ref="H49">IFERROR(INDEX('射擊表'!$C$2:$C$500,MATCH(1,('射擊表'!$A$2:$A$500=3)*('射擊表'!$B$2:$B$500=G49),0)),NA())</f>
      </c>
      <c r="I49">
        <f t="array" ref="I49">IFERROR(INDEX('射擊表'!$D$2:$D$500,MATCH(1,('射擊表'!$A$2:$A$500=3)*('射擊表'!$B$2:$B$500=G49),0)),NA())</f>
      </c>
      <c r="J49">
        <f t="array" ref="J49">IFERROR(SMALL(IF('射擊表'!$A$2:$A$500=4,'射擊表'!$B$2:$B$500),48),NA())</f>
      </c>
      <c r="K49">
        <f t="array" ref="K49">IFERROR(INDEX('射擊表'!$C$2:$C$500,MATCH(1,('射擊表'!$A$2:$A$500=4)*('射擊表'!$B$2:$B$500=J49),0)),NA())</f>
      </c>
      <c r="L49">
        <f t="array" ref="L49">IFERROR(INDEX('射擊表'!$D$2:$D$500,MATCH(1,('射擊表'!$A$2:$A$500=4)*('射擊表'!$B$2:$B$500=J49),0)),NA())</f>
      </c>
      <c r="M49">
        <f t="array" ref="M49">IFERROR(SMALL(IF('射擊表'!$A$2:$A$500=5,'射擊表'!$B$2:$B$500),48),NA())</f>
      </c>
      <c r="N49">
        <f t="array" ref="N49">IFERROR(INDEX('射擊表'!$C$2:$C$500,MATCH(1,('射擊表'!$A$2:$A$500=5)*('射擊表'!$B$2:$B$500=M49),0)),NA())</f>
      </c>
      <c r="O49">
        <f t="array" ref="O49">IFERROR(INDEX('射擊表'!$D$2:$D$500,MATCH(1,('射擊表'!$A$2:$A$500=5)*('射擊表'!$B$2:$B$500=M49),0)),NA())</f>
      </c>
      <c r="P49">
        <f t="array" ref="P49">IFERROR(SMALL(IF('射擊表'!$A$2:$A$500=6,'射擊表'!$B$2:$B$500),48),NA())</f>
      </c>
      <c r="Q49">
        <f t="array" ref="Q49">IFERROR(INDEX('射擊表'!$C$2:$C$500,MATCH(1,('射擊表'!$A$2:$A$500=6)*('射擊表'!$B$2:$B$500=P49),0)),NA())</f>
      </c>
      <c r="R49">
        <f t="array" ref="R49">IFERROR(INDEX('射擊表'!$D$2:$D$500,MATCH(1,('射擊表'!$A$2:$A$500=6)*('射擊表'!$B$2:$B$500=P49),0)),NA())</f>
      </c>
      <c r="S49">
        <f t="array" ref="S49">IFERROR(SMALL(IF('射擊表'!$A$2:$A$500=7,'射擊表'!$B$2:$B$500),48),NA())</f>
      </c>
      <c r="T49">
        <f t="array" ref="T49">IFERROR(INDEX('射擊表'!$C$2:$C$500,MATCH(1,('射擊表'!$A$2:$A$500=7)*('射擊表'!$B$2:$B$500=S49),0)),NA())</f>
      </c>
      <c r="U49">
        <f t="array" ref="U49">IFERROR(INDEX('射擊表'!$D$2:$D$500,MATCH(1,('射擊表'!$A$2:$A$500=7)*('射擊表'!$B$2:$B$500=S49),0)),NA())</f>
      </c>
      <c r="V49">
        <f t="array" ref="V49">IFERROR(SMALL(IF('射擊表'!$A$2:$A$500=8,'射擊表'!$B$2:$B$500),48),NA())</f>
      </c>
      <c r="W49">
        <f t="array" ref="W49">IFERROR(INDEX('射擊表'!$C$2:$C$500,MATCH(1,('射擊表'!$A$2:$A$500=8)*('射擊表'!$B$2:$B$500=V49),0)),NA())</f>
      </c>
      <c r="X49">
        <f t="array" ref="X49">IFERROR(INDEX('射擊表'!$D$2:$D$500,MATCH(1,('射擊表'!$A$2:$A$500=8)*('射擊表'!$B$2:$B$500=V49),0)),NA())</f>
      </c>
      <c r="Y49">
        <f t="array" ref="Y49">IFERROR(SMALL(IF('射擊表'!$A$2:$A$500=9,'射擊表'!$B$2:$B$500),48),NA())</f>
      </c>
      <c r="Z49">
        <f t="array" ref="Z49">IFERROR(INDEX('射擊表'!$C$2:$C$500,MATCH(1,('射擊表'!$A$2:$A$500=9)*('射擊表'!$B$2:$B$500=Y49),0)),NA())</f>
      </c>
      <c r="AA49">
        <f t="array" ref="AA49">IFERROR(INDEX('射擊表'!$D$2:$D$500,MATCH(1,('射擊表'!$A$2:$A$500=9)*('射擊表'!$B$2:$B$500=Y49),0)),NA())</f>
      </c>
    </row>
    <row r="50">
      <c r="A50">
        <f t="array" ref="A50">IFERROR(SMALL(IF('射擊表'!$A$2:$A$500=1,'射擊表'!$B$2:$B$500),49),NA())</f>
      </c>
      <c r="B50">
        <f t="array" ref="B50">IFERROR(INDEX('射擊表'!$C$2:$C$500,MATCH(1,('射擊表'!$A$2:$A$500=1)*('射擊表'!$B$2:$B$500=A50),0)),NA())</f>
      </c>
      <c r="C50">
        <f t="array" ref="C50">IFERROR(INDEX('射擊表'!$D$2:$D$500,MATCH(1,('射擊表'!$A$2:$A$500=1)*('射擊表'!$B$2:$B$500=A50),0)),NA())</f>
      </c>
      <c r="D50">
        <f t="array" ref="D50">IFERROR(SMALL(IF('射擊表'!$A$2:$A$500=2,'射擊表'!$B$2:$B$500),49),NA())</f>
      </c>
      <c r="E50">
        <f t="array" ref="E50">IFERROR(INDEX('射擊表'!$C$2:$C$500,MATCH(1,('射擊表'!$A$2:$A$500=2)*('射擊表'!$B$2:$B$500=D50),0)),NA())</f>
      </c>
      <c r="F50">
        <f t="array" ref="F50">IFERROR(INDEX('射擊表'!$D$2:$D$500,MATCH(1,('射擊表'!$A$2:$A$500=2)*('射擊表'!$B$2:$B$500=D50),0)),NA())</f>
      </c>
      <c r="G50">
        <f t="array" ref="G50">IFERROR(SMALL(IF('射擊表'!$A$2:$A$500=3,'射擊表'!$B$2:$B$500),49),NA())</f>
      </c>
      <c r="H50">
        <f t="array" ref="H50">IFERROR(INDEX('射擊表'!$C$2:$C$500,MATCH(1,('射擊表'!$A$2:$A$500=3)*('射擊表'!$B$2:$B$500=G50),0)),NA())</f>
      </c>
      <c r="I50">
        <f t="array" ref="I50">IFERROR(INDEX('射擊表'!$D$2:$D$500,MATCH(1,('射擊表'!$A$2:$A$500=3)*('射擊表'!$B$2:$B$500=G50),0)),NA())</f>
      </c>
      <c r="J50">
        <f t="array" ref="J50">IFERROR(SMALL(IF('射擊表'!$A$2:$A$500=4,'射擊表'!$B$2:$B$500),49),NA())</f>
      </c>
      <c r="K50">
        <f t="array" ref="K50">IFERROR(INDEX('射擊表'!$C$2:$C$500,MATCH(1,('射擊表'!$A$2:$A$500=4)*('射擊表'!$B$2:$B$500=J50),0)),NA())</f>
      </c>
      <c r="L50">
        <f t="array" ref="L50">IFERROR(INDEX('射擊表'!$D$2:$D$500,MATCH(1,('射擊表'!$A$2:$A$500=4)*('射擊表'!$B$2:$B$500=J50),0)),NA())</f>
      </c>
      <c r="M50">
        <f t="array" ref="M50">IFERROR(SMALL(IF('射擊表'!$A$2:$A$500=5,'射擊表'!$B$2:$B$500),49),NA())</f>
      </c>
      <c r="N50">
        <f t="array" ref="N50">IFERROR(INDEX('射擊表'!$C$2:$C$500,MATCH(1,('射擊表'!$A$2:$A$500=5)*('射擊表'!$B$2:$B$500=M50),0)),NA())</f>
      </c>
      <c r="O50">
        <f t="array" ref="O50">IFERROR(INDEX('射擊表'!$D$2:$D$500,MATCH(1,('射擊表'!$A$2:$A$500=5)*('射擊表'!$B$2:$B$500=M50),0)),NA())</f>
      </c>
      <c r="P50">
        <f t="array" ref="P50">IFERROR(SMALL(IF('射擊表'!$A$2:$A$500=6,'射擊表'!$B$2:$B$500),49),NA())</f>
      </c>
      <c r="Q50">
        <f t="array" ref="Q50">IFERROR(INDEX('射擊表'!$C$2:$C$500,MATCH(1,('射擊表'!$A$2:$A$500=6)*('射擊表'!$B$2:$B$500=P50),0)),NA())</f>
      </c>
      <c r="R50">
        <f t="array" ref="R50">IFERROR(INDEX('射擊表'!$D$2:$D$500,MATCH(1,('射擊表'!$A$2:$A$500=6)*('射擊表'!$B$2:$B$500=P50),0)),NA())</f>
      </c>
      <c r="S50">
        <f t="array" ref="S50">IFERROR(SMALL(IF('射擊表'!$A$2:$A$500=7,'射擊表'!$B$2:$B$500),49),NA())</f>
      </c>
      <c r="T50">
        <f t="array" ref="T50">IFERROR(INDEX('射擊表'!$C$2:$C$500,MATCH(1,('射擊表'!$A$2:$A$500=7)*('射擊表'!$B$2:$B$500=S50),0)),NA())</f>
      </c>
      <c r="U50">
        <f t="array" ref="U50">IFERROR(INDEX('射擊表'!$D$2:$D$500,MATCH(1,('射擊表'!$A$2:$A$500=7)*('射擊表'!$B$2:$B$500=S50),0)),NA())</f>
      </c>
      <c r="V50">
        <f t="array" ref="V50">IFERROR(SMALL(IF('射擊表'!$A$2:$A$500=8,'射擊表'!$B$2:$B$500),49),NA())</f>
      </c>
      <c r="W50">
        <f t="array" ref="W50">IFERROR(INDEX('射擊表'!$C$2:$C$500,MATCH(1,('射擊表'!$A$2:$A$500=8)*('射擊表'!$B$2:$B$500=V50),0)),NA())</f>
      </c>
      <c r="X50">
        <f t="array" ref="X50">IFERROR(INDEX('射擊表'!$D$2:$D$500,MATCH(1,('射擊表'!$A$2:$A$500=8)*('射擊表'!$B$2:$B$500=V50),0)),NA())</f>
      </c>
      <c r="Y50">
        <f t="array" ref="Y50">IFERROR(SMALL(IF('射擊表'!$A$2:$A$500=9,'射擊表'!$B$2:$B$500),49),NA())</f>
      </c>
      <c r="Z50">
        <f t="array" ref="Z50">IFERROR(INDEX('射擊表'!$C$2:$C$500,MATCH(1,('射擊表'!$A$2:$A$500=9)*('射擊表'!$B$2:$B$500=Y50),0)),NA())</f>
      </c>
      <c r="AA50">
        <f t="array" ref="AA50">IFERROR(INDEX('射擊表'!$D$2:$D$500,MATCH(1,('射擊表'!$A$2:$A$500=9)*('射擊表'!$B$2:$B$500=Y50),0)),NA())</f>
      </c>
    </row>
    <row r="51">
      <c r="A51">
        <f t="array" ref="A51">IFERROR(SMALL(IF('射擊表'!$A$2:$A$500=1,'射擊表'!$B$2:$B$500),50),NA())</f>
      </c>
      <c r="B51">
        <f t="array" ref="B51">IFERROR(INDEX('射擊表'!$C$2:$C$500,MATCH(1,('射擊表'!$A$2:$A$500=1)*('射擊表'!$B$2:$B$500=A51),0)),NA())</f>
      </c>
      <c r="C51">
        <f t="array" ref="C51">IFERROR(INDEX('射擊表'!$D$2:$D$500,MATCH(1,('射擊表'!$A$2:$A$500=1)*('射擊表'!$B$2:$B$500=A51),0)),NA())</f>
      </c>
      <c r="D51">
        <f t="array" ref="D51">IFERROR(SMALL(IF('射擊表'!$A$2:$A$500=2,'射擊表'!$B$2:$B$500),50),NA())</f>
      </c>
      <c r="E51">
        <f t="array" ref="E51">IFERROR(INDEX('射擊表'!$C$2:$C$500,MATCH(1,('射擊表'!$A$2:$A$500=2)*('射擊表'!$B$2:$B$500=D51),0)),NA())</f>
      </c>
      <c r="F51">
        <f t="array" ref="F51">IFERROR(INDEX('射擊表'!$D$2:$D$500,MATCH(1,('射擊表'!$A$2:$A$500=2)*('射擊表'!$B$2:$B$500=D51),0)),NA())</f>
      </c>
      <c r="G51">
        <f t="array" ref="G51">IFERROR(SMALL(IF('射擊表'!$A$2:$A$500=3,'射擊表'!$B$2:$B$500),50),NA())</f>
      </c>
      <c r="H51">
        <f t="array" ref="H51">IFERROR(INDEX('射擊表'!$C$2:$C$500,MATCH(1,('射擊表'!$A$2:$A$500=3)*('射擊表'!$B$2:$B$500=G51),0)),NA())</f>
      </c>
      <c r="I51">
        <f t="array" ref="I51">IFERROR(INDEX('射擊表'!$D$2:$D$500,MATCH(1,('射擊表'!$A$2:$A$500=3)*('射擊表'!$B$2:$B$500=G51),0)),NA())</f>
      </c>
      <c r="J51">
        <f t="array" ref="J51">IFERROR(SMALL(IF('射擊表'!$A$2:$A$500=4,'射擊表'!$B$2:$B$500),50),NA())</f>
      </c>
      <c r="K51">
        <f t="array" ref="K51">IFERROR(INDEX('射擊表'!$C$2:$C$500,MATCH(1,('射擊表'!$A$2:$A$500=4)*('射擊表'!$B$2:$B$500=J51),0)),NA())</f>
      </c>
      <c r="L51">
        <f t="array" ref="L51">IFERROR(INDEX('射擊表'!$D$2:$D$500,MATCH(1,('射擊表'!$A$2:$A$500=4)*('射擊表'!$B$2:$B$500=J51),0)),NA())</f>
      </c>
      <c r="M51">
        <f t="array" ref="M51">IFERROR(SMALL(IF('射擊表'!$A$2:$A$500=5,'射擊表'!$B$2:$B$500),50),NA())</f>
      </c>
      <c r="N51">
        <f t="array" ref="N51">IFERROR(INDEX('射擊表'!$C$2:$C$500,MATCH(1,('射擊表'!$A$2:$A$500=5)*('射擊表'!$B$2:$B$500=M51),0)),NA())</f>
      </c>
      <c r="O51">
        <f t="array" ref="O51">IFERROR(INDEX('射擊表'!$D$2:$D$500,MATCH(1,('射擊表'!$A$2:$A$500=5)*('射擊表'!$B$2:$B$500=M51),0)),NA())</f>
      </c>
      <c r="P51">
        <f t="array" ref="P51">IFERROR(SMALL(IF('射擊表'!$A$2:$A$500=6,'射擊表'!$B$2:$B$500),50),NA())</f>
      </c>
      <c r="Q51">
        <f t="array" ref="Q51">IFERROR(INDEX('射擊表'!$C$2:$C$500,MATCH(1,('射擊表'!$A$2:$A$500=6)*('射擊表'!$B$2:$B$500=P51),0)),NA())</f>
      </c>
      <c r="R51">
        <f t="array" ref="R51">IFERROR(INDEX('射擊表'!$D$2:$D$500,MATCH(1,('射擊表'!$A$2:$A$500=6)*('射擊表'!$B$2:$B$500=P51),0)),NA())</f>
      </c>
      <c r="S51">
        <f t="array" ref="S51">IFERROR(SMALL(IF('射擊表'!$A$2:$A$500=7,'射擊表'!$B$2:$B$500),50),NA())</f>
      </c>
      <c r="T51">
        <f t="array" ref="T51">IFERROR(INDEX('射擊表'!$C$2:$C$500,MATCH(1,('射擊表'!$A$2:$A$500=7)*('射擊表'!$B$2:$B$500=S51),0)),NA())</f>
      </c>
      <c r="U51">
        <f t="array" ref="U51">IFERROR(INDEX('射擊表'!$D$2:$D$500,MATCH(1,('射擊表'!$A$2:$A$500=7)*('射擊表'!$B$2:$B$500=S51),0)),NA())</f>
      </c>
      <c r="V51">
        <f t="array" ref="V51">IFERROR(SMALL(IF('射擊表'!$A$2:$A$500=8,'射擊表'!$B$2:$B$500),50),NA())</f>
      </c>
      <c r="W51">
        <f t="array" ref="W51">IFERROR(INDEX('射擊表'!$C$2:$C$500,MATCH(1,('射擊表'!$A$2:$A$500=8)*('射擊表'!$B$2:$B$500=V51),0)),NA())</f>
      </c>
      <c r="X51">
        <f t="array" ref="X51">IFERROR(INDEX('射擊表'!$D$2:$D$500,MATCH(1,('射擊表'!$A$2:$A$500=8)*('射擊表'!$B$2:$B$500=V51),0)),NA())</f>
      </c>
      <c r="Y51">
        <f t="array" ref="Y51">IFERROR(SMALL(IF('射擊表'!$A$2:$A$500=9,'射擊表'!$B$2:$B$500),50),NA())</f>
      </c>
      <c r="Z51">
        <f t="array" ref="Z51">IFERROR(INDEX('射擊表'!$C$2:$C$500,MATCH(1,('射擊表'!$A$2:$A$500=9)*('射擊表'!$B$2:$B$500=Y51),0)),NA())</f>
      </c>
      <c r="AA51">
        <f t="array" ref="AA51">IFERROR(INDEX('射擊表'!$D$2:$D$500,MATCH(1,('射擊表'!$A$2:$A$500=9)*('射擊表'!$B$2:$B$500=Y51),0)),NA())</f>
      </c>
    </row>
    <row r="52">
      <c r="A52">
        <f t="array" ref="A52">IFERROR(SMALL(IF('射擊表'!$A$2:$A$500=1,'射擊表'!$B$2:$B$500),51),NA())</f>
      </c>
      <c r="B52">
        <f t="array" ref="B52">IFERROR(INDEX('射擊表'!$C$2:$C$500,MATCH(1,('射擊表'!$A$2:$A$500=1)*('射擊表'!$B$2:$B$500=A52),0)),NA())</f>
      </c>
      <c r="C52">
        <f t="array" ref="C52">IFERROR(INDEX('射擊表'!$D$2:$D$500,MATCH(1,('射擊表'!$A$2:$A$500=1)*('射擊表'!$B$2:$B$500=A52),0)),NA())</f>
      </c>
      <c r="D52">
        <f t="array" ref="D52">IFERROR(SMALL(IF('射擊表'!$A$2:$A$500=2,'射擊表'!$B$2:$B$500),51),NA())</f>
      </c>
      <c r="E52">
        <f t="array" ref="E52">IFERROR(INDEX('射擊表'!$C$2:$C$500,MATCH(1,('射擊表'!$A$2:$A$500=2)*('射擊表'!$B$2:$B$500=D52),0)),NA())</f>
      </c>
      <c r="F52">
        <f t="array" ref="F52">IFERROR(INDEX('射擊表'!$D$2:$D$500,MATCH(1,('射擊表'!$A$2:$A$500=2)*('射擊表'!$B$2:$B$500=D52),0)),NA())</f>
      </c>
      <c r="G52">
        <f t="array" ref="G52">IFERROR(SMALL(IF('射擊表'!$A$2:$A$500=3,'射擊表'!$B$2:$B$500),51),NA())</f>
      </c>
      <c r="H52">
        <f t="array" ref="H52">IFERROR(INDEX('射擊表'!$C$2:$C$500,MATCH(1,('射擊表'!$A$2:$A$500=3)*('射擊表'!$B$2:$B$500=G52),0)),NA())</f>
      </c>
      <c r="I52">
        <f t="array" ref="I52">IFERROR(INDEX('射擊表'!$D$2:$D$500,MATCH(1,('射擊表'!$A$2:$A$500=3)*('射擊表'!$B$2:$B$500=G52),0)),NA())</f>
      </c>
      <c r="J52">
        <f t="array" ref="J52">IFERROR(SMALL(IF('射擊表'!$A$2:$A$500=4,'射擊表'!$B$2:$B$500),51),NA())</f>
      </c>
      <c r="K52">
        <f t="array" ref="K52">IFERROR(INDEX('射擊表'!$C$2:$C$500,MATCH(1,('射擊表'!$A$2:$A$500=4)*('射擊表'!$B$2:$B$500=J52),0)),NA())</f>
      </c>
      <c r="L52">
        <f t="array" ref="L52">IFERROR(INDEX('射擊表'!$D$2:$D$500,MATCH(1,('射擊表'!$A$2:$A$500=4)*('射擊表'!$B$2:$B$500=J52),0)),NA())</f>
      </c>
      <c r="M52">
        <f t="array" ref="M52">IFERROR(SMALL(IF('射擊表'!$A$2:$A$500=5,'射擊表'!$B$2:$B$500),51),NA())</f>
      </c>
      <c r="N52">
        <f t="array" ref="N52">IFERROR(INDEX('射擊表'!$C$2:$C$500,MATCH(1,('射擊表'!$A$2:$A$500=5)*('射擊表'!$B$2:$B$500=M52),0)),NA())</f>
      </c>
      <c r="O52">
        <f t="array" ref="O52">IFERROR(INDEX('射擊表'!$D$2:$D$500,MATCH(1,('射擊表'!$A$2:$A$500=5)*('射擊表'!$B$2:$B$500=M52),0)),NA())</f>
      </c>
      <c r="P52">
        <f t="array" ref="P52">IFERROR(SMALL(IF('射擊表'!$A$2:$A$500=6,'射擊表'!$B$2:$B$500),51),NA())</f>
      </c>
      <c r="Q52">
        <f t="array" ref="Q52">IFERROR(INDEX('射擊表'!$C$2:$C$500,MATCH(1,('射擊表'!$A$2:$A$500=6)*('射擊表'!$B$2:$B$500=P52),0)),NA())</f>
      </c>
      <c r="R52">
        <f t="array" ref="R52">IFERROR(INDEX('射擊表'!$D$2:$D$500,MATCH(1,('射擊表'!$A$2:$A$500=6)*('射擊表'!$B$2:$B$500=P52),0)),NA())</f>
      </c>
      <c r="S52">
        <f t="array" ref="S52">IFERROR(SMALL(IF('射擊表'!$A$2:$A$500=7,'射擊表'!$B$2:$B$500),51),NA())</f>
      </c>
      <c r="T52">
        <f t="array" ref="T52">IFERROR(INDEX('射擊表'!$C$2:$C$500,MATCH(1,('射擊表'!$A$2:$A$500=7)*('射擊表'!$B$2:$B$500=S52),0)),NA())</f>
      </c>
      <c r="U52">
        <f t="array" ref="U52">IFERROR(INDEX('射擊表'!$D$2:$D$500,MATCH(1,('射擊表'!$A$2:$A$500=7)*('射擊表'!$B$2:$B$500=S52),0)),NA())</f>
      </c>
      <c r="V52">
        <f t="array" ref="V52">IFERROR(SMALL(IF('射擊表'!$A$2:$A$500=8,'射擊表'!$B$2:$B$500),51),NA())</f>
      </c>
      <c r="W52">
        <f t="array" ref="W52">IFERROR(INDEX('射擊表'!$C$2:$C$500,MATCH(1,('射擊表'!$A$2:$A$500=8)*('射擊表'!$B$2:$B$500=V52),0)),NA())</f>
      </c>
      <c r="X52">
        <f t="array" ref="X52">IFERROR(INDEX('射擊表'!$D$2:$D$500,MATCH(1,('射擊表'!$A$2:$A$500=8)*('射擊表'!$B$2:$B$500=V52),0)),NA())</f>
      </c>
      <c r="Y52">
        <f t="array" ref="Y52">IFERROR(SMALL(IF('射擊表'!$A$2:$A$500=9,'射擊表'!$B$2:$B$500),51),NA())</f>
      </c>
      <c r="Z52">
        <f t="array" ref="Z52">IFERROR(INDEX('射擊表'!$C$2:$C$500,MATCH(1,('射擊表'!$A$2:$A$500=9)*('射擊表'!$B$2:$B$500=Y52),0)),NA())</f>
      </c>
      <c r="AA52">
        <f t="array" ref="AA52">IFERROR(INDEX('射擊表'!$D$2:$D$500,MATCH(1,('射擊表'!$A$2:$A$500=9)*('射擊表'!$B$2:$B$500=Y52),0)),NA())</f>
      </c>
    </row>
    <row r="53">
      <c r="A53">
        <f t="array" ref="A53">IFERROR(SMALL(IF('射擊表'!$A$2:$A$500=1,'射擊表'!$B$2:$B$500),52),NA())</f>
      </c>
      <c r="B53">
        <f t="array" ref="B53">IFERROR(INDEX('射擊表'!$C$2:$C$500,MATCH(1,('射擊表'!$A$2:$A$500=1)*('射擊表'!$B$2:$B$500=A53),0)),NA())</f>
      </c>
      <c r="C53">
        <f t="array" ref="C53">IFERROR(INDEX('射擊表'!$D$2:$D$500,MATCH(1,('射擊表'!$A$2:$A$500=1)*('射擊表'!$B$2:$B$500=A53),0)),NA())</f>
      </c>
      <c r="D53">
        <f t="array" ref="D53">IFERROR(SMALL(IF('射擊表'!$A$2:$A$500=2,'射擊表'!$B$2:$B$500),52),NA())</f>
      </c>
      <c r="E53">
        <f t="array" ref="E53">IFERROR(INDEX('射擊表'!$C$2:$C$500,MATCH(1,('射擊表'!$A$2:$A$500=2)*('射擊表'!$B$2:$B$500=D53),0)),NA())</f>
      </c>
      <c r="F53">
        <f t="array" ref="F53">IFERROR(INDEX('射擊表'!$D$2:$D$500,MATCH(1,('射擊表'!$A$2:$A$500=2)*('射擊表'!$B$2:$B$500=D53),0)),NA())</f>
      </c>
      <c r="G53">
        <f t="array" ref="G53">IFERROR(SMALL(IF('射擊表'!$A$2:$A$500=3,'射擊表'!$B$2:$B$500),52),NA())</f>
      </c>
      <c r="H53">
        <f t="array" ref="H53">IFERROR(INDEX('射擊表'!$C$2:$C$500,MATCH(1,('射擊表'!$A$2:$A$500=3)*('射擊表'!$B$2:$B$500=G53),0)),NA())</f>
      </c>
      <c r="I53">
        <f t="array" ref="I53">IFERROR(INDEX('射擊表'!$D$2:$D$500,MATCH(1,('射擊表'!$A$2:$A$500=3)*('射擊表'!$B$2:$B$500=G53),0)),NA())</f>
      </c>
      <c r="J53">
        <f t="array" ref="J53">IFERROR(SMALL(IF('射擊表'!$A$2:$A$500=4,'射擊表'!$B$2:$B$500),52),NA())</f>
      </c>
      <c r="K53">
        <f t="array" ref="K53">IFERROR(INDEX('射擊表'!$C$2:$C$500,MATCH(1,('射擊表'!$A$2:$A$500=4)*('射擊表'!$B$2:$B$500=J53),0)),NA())</f>
      </c>
      <c r="L53">
        <f t="array" ref="L53">IFERROR(INDEX('射擊表'!$D$2:$D$500,MATCH(1,('射擊表'!$A$2:$A$500=4)*('射擊表'!$B$2:$B$500=J53),0)),NA())</f>
      </c>
      <c r="M53">
        <f t="array" ref="M53">IFERROR(SMALL(IF('射擊表'!$A$2:$A$500=5,'射擊表'!$B$2:$B$500),52),NA())</f>
      </c>
      <c r="N53">
        <f t="array" ref="N53">IFERROR(INDEX('射擊表'!$C$2:$C$500,MATCH(1,('射擊表'!$A$2:$A$500=5)*('射擊表'!$B$2:$B$500=M53),0)),NA())</f>
      </c>
      <c r="O53">
        <f t="array" ref="O53">IFERROR(INDEX('射擊表'!$D$2:$D$500,MATCH(1,('射擊表'!$A$2:$A$500=5)*('射擊表'!$B$2:$B$500=M53),0)),NA())</f>
      </c>
      <c r="P53">
        <f t="array" ref="P53">IFERROR(SMALL(IF('射擊表'!$A$2:$A$500=6,'射擊表'!$B$2:$B$500),52),NA())</f>
      </c>
      <c r="Q53">
        <f t="array" ref="Q53">IFERROR(INDEX('射擊表'!$C$2:$C$500,MATCH(1,('射擊表'!$A$2:$A$500=6)*('射擊表'!$B$2:$B$500=P53),0)),NA())</f>
      </c>
      <c r="R53">
        <f t="array" ref="R53">IFERROR(INDEX('射擊表'!$D$2:$D$500,MATCH(1,('射擊表'!$A$2:$A$500=6)*('射擊表'!$B$2:$B$500=P53),0)),NA())</f>
      </c>
      <c r="S53">
        <f t="array" ref="S53">IFERROR(SMALL(IF('射擊表'!$A$2:$A$500=7,'射擊表'!$B$2:$B$500),52),NA())</f>
      </c>
      <c r="T53">
        <f t="array" ref="T53">IFERROR(INDEX('射擊表'!$C$2:$C$500,MATCH(1,('射擊表'!$A$2:$A$500=7)*('射擊表'!$B$2:$B$500=S53),0)),NA())</f>
      </c>
      <c r="U53">
        <f t="array" ref="U53">IFERROR(INDEX('射擊表'!$D$2:$D$500,MATCH(1,('射擊表'!$A$2:$A$500=7)*('射擊表'!$B$2:$B$500=S53),0)),NA())</f>
      </c>
      <c r="V53">
        <f t="array" ref="V53">IFERROR(SMALL(IF('射擊表'!$A$2:$A$500=8,'射擊表'!$B$2:$B$500),52),NA())</f>
      </c>
      <c r="W53">
        <f t="array" ref="W53">IFERROR(INDEX('射擊表'!$C$2:$C$500,MATCH(1,('射擊表'!$A$2:$A$500=8)*('射擊表'!$B$2:$B$500=V53),0)),NA())</f>
      </c>
      <c r="X53">
        <f t="array" ref="X53">IFERROR(INDEX('射擊表'!$D$2:$D$500,MATCH(1,('射擊表'!$A$2:$A$500=8)*('射擊表'!$B$2:$B$500=V53),0)),NA())</f>
      </c>
      <c r="Y53">
        <f t="array" ref="Y53">IFERROR(SMALL(IF('射擊表'!$A$2:$A$500=9,'射擊表'!$B$2:$B$500),52),NA())</f>
      </c>
      <c r="Z53">
        <f t="array" ref="Z53">IFERROR(INDEX('射擊表'!$C$2:$C$500,MATCH(1,('射擊表'!$A$2:$A$500=9)*('射擊表'!$B$2:$B$500=Y53),0)),NA())</f>
      </c>
      <c r="AA53">
        <f t="array" ref="AA53">IFERROR(INDEX('射擊表'!$D$2:$D$500,MATCH(1,('射擊表'!$A$2:$A$500=9)*('射擊表'!$B$2:$B$500=Y53),0)),NA())</f>
      </c>
    </row>
    <row r="54">
      <c r="A54">
        <f t="array" ref="A54">IFERROR(SMALL(IF('射擊表'!$A$2:$A$500=1,'射擊表'!$B$2:$B$500),53),NA())</f>
      </c>
      <c r="B54">
        <f t="array" ref="B54">IFERROR(INDEX('射擊表'!$C$2:$C$500,MATCH(1,('射擊表'!$A$2:$A$500=1)*('射擊表'!$B$2:$B$500=A54),0)),NA())</f>
      </c>
      <c r="C54">
        <f t="array" ref="C54">IFERROR(INDEX('射擊表'!$D$2:$D$500,MATCH(1,('射擊表'!$A$2:$A$500=1)*('射擊表'!$B$2:$B$500=A54),0)),NA())</f>
      </c>
      <c r="D54">
        <f t="array" ref="D54">IFERROR(SMALL(IF('射擊表'!$A$2:$A$500=2,'射擊表'!$B$2:$B$500),53),NA())</f>
      </c>
      <c r="E54">
        <f t="array" ref="E54">IFERROR(INDEX('射擊表'!$C$2:$C$500,MATCH(1,('射擊表'!$A$2:$A$500=2)*('射擊表'!$B$2:$B$500=D54),0)),NA())</f>
      </c>
      <c r="F54">
        <f t="array" ref="F54">IFERROR(INDEX('射擊表'!$D$2:$D$500,MATCH(1,('射擊表'!$A$2:$A$500=2)*('射擊表'!$B$2:$B$500=D54),0)),NA())</f>
      </c>
      <c r="G54">
        <f t="array" ref="G54">IFERROR(SMALL(IF('射擊表'!$A$2:$A$500=3,'射擊表'!$B$2:$B$500),53),NA())</f>
      </c>
      <c r="H54">
        <f t="array" ref="H54">IFERROR(INDEX('射擊表'!$C$2:$C$500,MATCH(1,('射擊表'!$A$2:$A$500=3)*('射擊表'!$B$2:$B$500=G54),0)),NA())</f>
      </c>
      <c r="I54">
        <f t="array" ref="I54">IFERROR(INDEX('射擊表'!$D$2:$D$500,MATCH(1,('射擊表'!$A$2:$A$500=3)*('射擊表'!$B$2:$B$500=G54),0)),NA())</f>
      </c>
      <c r="J54">
        <f t="array" ref="J54">IFERROR(SMALL(IF('射擊表'!$A$2:$A$500=4,'射擊表'!$B$2:$B$500),53),NA())</f>
      </c>
      <c r="K54">
        <f t="array" ref="K54">IFERROR(INDEX('射擊表'!$C$2:$C$500,MATCH(1,('射擊表'!$A$2:$A$500=4)*('射擊表'!$B$2:$B$500=J54),0)),NA())</f>
      </c>
      <c r="L54">
        <f t="array" ref="L54">IFERROR(INDEX('射擊表'!$D$2:$D$500,MATCH(1,('射擊表'!$A$2:$A$500=4)*('射擊表'!$B$2:$B$500=J54),0)),NA())</f>
      </c>
      <c r="M54">
        <f t="array" ref="M54">IFERROR(SMALL(IF('射擊表'!$A$2:$A$500=5,'射擊表'!$B$2:$B$500),53),NA())</f>
      </c>
      <c r="N54">
        <f t="array" ref="N54">IFERROR(INDEX('射擊表'!$C$2:$C$500,MATCH(1,('射擊表'!$A$2:$A$500=5)*('射擊表'!$B$2:$B$500=M54),0)),NA())</f>
      </c>
      <c r="O54">
        <f t="array" ref="O54">IFERROR(INDEX('射擊表'!$D$2:$D$500,MATCH(1,('射擊表'!$A$2:$A$500=5)*('射擊表'!$B$2:$B$500=M54),0)),NA())</f>
      </c>
      <c r="P54">
        <f t="array" ref="P54">IFERROR(SMALL(IF('射擊表'!$A$2:$A$500=6,'射擊表'!$B$2:$B$500),53),NA())</f>
      </c>
      <c r="Q54">
        <f t="array" ref="Q54">IFERROR(INDEX('射擊表'!$C$2:$C$500,MATCH(1,('射擊表'!$A$2:$A$500=6)*('射擊表'!$B$2:$B$500=P54),0)),NA())</f>
      </c>
      <c r="R54">
        <f t="array" ref="R54">IFERROR(INDEX('射擊表'!$D$2:$D$500,MATCH(1,('射擊表'!$A$2:$A$500=6)*('射擊表'!$B$2:$B$500=P54),0)),NA())</f>
      </c>
      <c r="S54">
        <f t="array" ref="S54">IFERROR(SMALL(IF('射擊表'!$A$2:$A$500=7,'射擊表'!$B$2:$B$500),53),NA())</f>
      </c>
      <c r="T54">
        <f t="array" ref="T54">IFERROR(INDEX('射擊表'!$C$2:$C$500,MATCH(1,('射擊表'!$A$2:$A$500=7)*('射擊表'!$B$2:$B$500=S54),0)),NA())</f>
      </c>
      <c r="U54">
        <f t="array" ref="U54">IFERROR(INDEX('射擊表'!$D$2:$D$500,MATCH(1,('射擊表'!$A$2:$A$500=7)*('射擊表'!$B$2:$B$500=S54),0)),NA())</f>
      </c>
      <c r="V54">
        <f t="array" ref="V54">IFERROR(SMALL(IF('射擊表'!$A$2:$A$500=8,'射擊表'!$B$2:$B$500),53),NA())</f>
      </c>
      <c r="W54">
        <f t="array" ref="W54">IFERROR(INDEX('射擊表'!$C$2:$C$500,MATCH(1,('射擊表'!$A$2:$A$500=8)*('射擊表'!$B$2:$B$500=V54),0)),NA())</f>
      </c>
      <c r="X54">
        <f t="array" ref="X54">IFERROR(INDEX('射擊表'!$D$2:$D$500,MATCH(1,('射擊表'!$A$2:$A$500=8)*('射擊表'!$B$2:$B$500=V54),0)),NA())</f>
      </c>
      <c r="Y54">
        <f t="array" ref="Y54">IFERROR(SMALL(IF('射擊表'!$A$2:$A$500=9,'射擊表'!$B$2:$B$500),53),NA())</f>
      </c>
      <c r="Z54">
        <f t="array" ref="Z54">IFERROR(INDEX('射擊表'!$C$2:$C$500,MATCH(1,('射擊表'!$A$2:$A$500=9)*('射擊表'!$B$2:$B$500=Y54),0)),NA())</f>
      </c>
      <c r="AA54">
        <f t="array" ref="AA54">IFERROR(INDEX('射擊表'!$D$2:$D$500,MATCH(1,('射擊表'!$A$2:$A$500=9)*('射擊表'!$B$2:$B$500=Y54),0)),NA())</f>
      </c>
    </row>
    <row r="55">
      <c r="A55">
        <f t="array" ref="A55">IFERROR(SMALL(IF('射擊表'!$A$2:$A$500=1,'射擊表'!$B$2:$B$500),54),NA())</f>
      </c>
      <c r="B55">
        <f t="array" ref="B55">IFERROR(INDEX('射擊表'!$C$2:$C$500,MATCH(1,('射擊表'!$A$2:$A$500=1)*('射擊表'!$B$2:$B$500=A55),0)),NA())</f>
      </c>
      <c r="C55">
        <f t="array" ref="C55">IFERROR(INDEX('射擊表'!$D$2:$D$500,MATCH(1,('射擊表'!$A$2:$A$500=1)*('射擊表'!$B$2:$B$500=A55),0)),NA())</f>
      </c>
      <c r="D55">
        <f t="array" ref="D55">IFERROR(SMALL(IF('射擊表'!$A$2:$A$500=2,'射擊表'!$B$2:$B$500),54),NA())</f>
      </c>
      <c r="E55">
        <f t="array" ref="E55">IFERROR(INDEX('射擊表'!$C$2:$C$500,MATCH(1,('射擊表'!$A$2:$A$500=2)*('射擊表'!$B$2:$B$500=D55),0)),NA())</f>
      </c>
      <c r="F55">
        <f t="array" ref="F55">IFERROR(INDEX('射擊表'!$D$2:$D$500,MATCH(1,('射擊表'!$A$2:$A$500=2)*('射擊表'!$B$2:$B$500=D55),0)),NA())</f>
      </c>
      <c r="G55">
        <f t="array" ref="G55">IFERROR(SMALL(IF('射擊表'!$A$2:$A$500=3,'射擊表'!$B$2:$B$500),54),NA())</f>
      </c>
      <c r="H55">
        <f t="array" ref="H55">IFERROR(INDEX('射擊表'!$C$2:$C$500,MATCH(1,('射擊表'!$A$2:$A$500=3)*('射擊表'!$B$2:$B$500=G55),0)),NA())</f>
      </c>
      <c r="I55">
        <f t="array" ref="I55">IFERROR(INDEX('射擊表'!$D$2:$D$500,MATCH(1,('射擊表'!$A$2:$A$500=3)*('射擊表'!$B$2:$B$500=G55),0)),NA())</f>
      </c>
      <c r="J55">
        <f t="array" ref="J55">IFERROR(SMALL(IF('射擊表'!$A$2:$A$500=4,'射擊表'!$B$2:$B$500),54),NA())</f>
      </c>
      <c r="K55">
        <f t="array" ref="K55">IFERROR(INDEX('射擊表'!$C$2:$C$500,MATCH(1,('射擊表'!$A$2:$A$500=4)*('射擊表'!$B$2:$B$500=J55),0)),NA())</f>
      </c>
      <c r="L55">
        <f t="array" ref="L55">IFERROR(INDEX('射擊表'!$D$2:$D$500,MATCH(1,('射擊表'!$A$2:$A$500=4)*('射擊表'!$B$2:$B$500=J55),0)),NA())</f>
      </c>
      <c r="M55">
        <f t="array" ref="M55">IFERROR(SMALL(IF('射擊表'!$A$2:$A$500=5,'射擊表'!$B$2:$B$500),54),NA())</f>
      </c>
      <c r="N55">
        <f t="array" ref="N55">IFERROR(INDEX('射擊表'!$C$2:$C$500,MATCH(1,('射擊表'!$A$2:$A$500=5)*('射擊表'!$B$2:$B$500=M55),0)),NA())</f>
      </c>
      <c r="O55">
        <f t="array" ref="O55">IFERROR(INDEX('射擊表'!$D$2:$D$500,MATCH(1,('射擊表'!$A$2:$A$500=5)*('射擊表'!$B$2:$B$500=M55),0)),NA())</f>
      </c>
      <c r="P55">
        <f t="array" ref="P55">IFERROR(SMALL(IF('射擊表'!$A$2:$A$500=6,'射擊表'!$B$2:$B$500),54),NA())</f>
      </c>
      <c r="Q55">
        <f t="array" ref="Q55">IFERROR(INDEX('射擊表'!$C$2:$C$500,MATCH(1,('射擊表'!$A$2:$A$500=6)*('射擊表'!$B$2:$B$500=P55),0)),NA())</f>
      </c>
      <c r="R55">
        <f t="array" ref="R55">IFERROR(INDEX('射擊表'!$D$2:$D$500,MATCH(1,('射擊表'!$A$2:$A$500=6)*('射擊表'!$B$2:$B$500=P55),0)),NA())</f>
      </c>
      <c r="S55">
        <f t="array" ref="S55">IFERROR(SMALL(IF('射擊表'!$A$2:$A$500=7,'射擊表'!$B$2:$B$500),54),NA())</f>
      </c>
      <c r="T55">
        <f t="array" ref="T55">IFERROR(INDEX('射擊表'!$C$2:$C$500,MATCH(1,('射擊表'!$A$2:$A$500=7)*('射擊表'!$B$2:$B$500=S55),0)),NA())</f>
      </c>
      <c r="U55">
        <f t="array" ref="U55">IFERROR(INDEX('射擊表'!$D$2:$D$500,MATCH(1,('射擊表'!$A$2:$A$500=7)*('射擊表'!$B$2:$B$500=S55),0)),NA())</f>
      </c>
      <c r="V55">
        <f t="array" ref="V55">IFERROR(SMALL(IF('射擊表'!$A$2:$A$500=8,'射擊表'!$B$2:$B$500),54),NA())</f>
      </c>
      <c r="W55">
        <f t="array" ref="W55">IFERROR(INDEX('射擊表'!$C$2:$C$500,MATCH(1,('射擊表'!$A$2:$A$500=8)*('射擊表'!$B$2:$B$500=V55),0)),NA())</f>
      </c>
      <c r="X55">
        <f t="array" ref="X55">IFERROR(INDEX('射擊表'!$D$2:$D$500,MATCH(1,('射擊表'!$A$2:$A$500=8)*('射擊表'!$B$2:$B$500=V55),0)),NA())</f>
      </c>
      <c r="Y55">
        <f t="array" ref="Y55">IFERROR(SMALL(IF('射擊表'!$A$2:$A$500=9,'射擊表'!$B$2:$B$500),54),NA())</f>
      </c>
      <c r="Z55">
        <f t="array" ref="Z55">IFERROR(INDEX('射擊表'!$C$2:$C$500,MATCH(1,('射擊表'!$A$2:$A$500=9)*('射擊表'!$B$2:$B$500=Y55),0)),NA())</f>
      </c>
      <c r="AA55">
        <f t="array" ref="AA55">IFERROR(INDEX('射擊表'!$D$2:$D$500,MATCH(1,('射擊表'!$A$2:$A$500=9)*('射擊表'!$B$2:$B$500=Y55),0)),NA())</f>
      </c>
    </row>
    <row r="56">
      <c r="A56">
        <f t="array" ref="A56">IFERROR(SMALL(IF('射擊表'!$A$2:$A$500=1,'射擊表'!$B$2:$B$500),55),NA())</f>
      </c>
      <c r="B56">
        <f t="array" ref="B56">IFERROR(INDEX('射擊表'!$C$2:$C$500,MATCH(1,('射擊表'!$A$2:$A$500=1)*('射擊表'!$B$2:$B$500=A56),0)),NA())</f>
      </c>
      <c r="C56">
        <f t="array" ref="C56">IFERROR(INDEX('射擊表'!$D$2:$D$500,MATCH(1,('射擊表'!$A$2:$A$500=1)*('射擊表'!$B$2:$B$500=A56),0)),NA())</f>
      </c>
      <c r="D56">
        <f t="array" ref="D56">IFERROR(SMALL(IF('射擊表'!$A$2:$A$500=2,'射擊表'!$B$2:$B$500),55),NA())</f>
      </c>
      <c r="E56">
        <f t="array" ref="E56">IFERROR(INDEX('射擊表'!$C$2:$C$500,MATCH(1,('射擊表'!$A$2:$A$500=2)*('射擊表'!$B$2:$B$500=D56),0)),NA())</f>
      </c>
      <c r="F56">
        <f t="array" ref="F56">IFERROR(INDEX('射擊表'!$D$2:$D$500,MATCH(1,('射擊表'!$A$2:$A$500=2)*('射擊表'!$B$2:$B$500=D56),0)),NA())</f>
      </c>
      <c r="G56">
        <f t="array" ref="G56">IFERROR(SMALL(IF('射擊表'!$A$2:$A$500=3,'射擊表'!$B$2:$B$500),55),NA())</f>
      </c>
      <c r="H56">
        <f t="array" ref="H56">IFERROR(INDEX('射擊表'!$C$2:$C$500,MATCH(1,('射擊表'!$A$2:$A$500=3)*('射擊表'!$B$2:$B$500=G56),0)),NA())</f>
      </c>
      <c r="I56">
        <f t="array" ref="I56">IFERROR(INDEX('射擊表'!$D$2:$D$500,MATCH(1,('射擊表'!$A$2:$A$500=3)*('射擊表'!$B$2:$B$500=G56),0)),NA())</f>
      </c>
      <c r="J56">
        <f t="array" ref="J56">IFERROR(SMALL(IF('射擊表'!$A$2:$A$500=4,'射擊表'!$B$2:$B$500),55),NA())</f>
      </c>
      <c r="K56">
        <f t="array" ref="K56">IFERROR(INDEX('射擊表'!$C$2:$C$500,MATCH(1,('射擊表'!$A$2:$A$500=4)*('射擊表'!$B$2:$B$500=J56),0)),NA())</f>
      </c>
      <c r="L56">
        <f t="array" ref="L56">IFERROR(INDEX('射擊表'!$D$2:$D$500,MATCH(1,('射擊表'!$A$2:$A$500=4)*('射擊表'!$B$2:$B$500=J56),0)),NA())</f>
      </c>
      <c r="M56">
        <f t="array" ref="M56">IFERROR(SMALL(IF('射擊表'!$A$2:$A$500=5,'射擊表'!$B$2:$B$500),55),NA())</f>
      </c>
      <c r="N56">
        <f t="array" ref="N56">IFERROR(INDEX('射擊表'!$C$2:$C$500,MATCH(1,('射擊表'!$A$2:$A$500=5)*('射擊表'!$B$2:$B$500=M56),0)),NA())</f>
      </c>
      <c r="O56">
        <f t="array" ref="O56">IFERROR(INDEX('射擊表'!$D$2:$D$500,MATCH(1,('射擊表'!$A$2:$A$500=5)*('射擊表'!$B$2:$B$500=M56),0)),NA())</f>
      </c>
      <c r="P56">
        <f t="array" ref="P56">IFERROR(SMALL(IF('射擊表'!$A$2:$A$500=6,'射擊表'!$B$2:$B$500),55),NA())</f>
      </c>
      <c r="Q56">
        <f t="array" ref="Q56">IFERROR(INDEX('射擊表'!$C$2:$C$500,MATCH(1,('射擊表'!$A$2:$A$500=6)*('射擊表'!$B$2:$B$500=P56),0)),NA())</f>
      </c>
      <c r="R56">
        <f t="array" ref="R56">IFERROR(INDEX('射擊表'!$D$2:$D$500,MATCH(1,('射擊表'!$A$2:$A$500=6)*('射擊表'!$B$2:$B$500=P56),0)),NA())</f>
      </c>
      <c r="S56">
        <f t="array" ref="S56">IFERROR(SMALL(IF('射擊表'!$A$2:$A$500=7,'射擊表'!$B$2:$B$500),55),NA())</f>
      </c>
      <c r="T56">
        <f t="array" ref="T56">IFERROR(INDEX('射擊表'!$C$2:$C$500,MATCH(1,('射擊表'!$A$2:$A$500=7)*('射擊表'!$B$2:$B$500=S56),0)),NA())</f>
      </c>
      <c r="U56">
        <f t="array" ref="U56">IFERROR(INDEX('射擊表'!$D$2:$D$500,MATCH(1,('射擊表'!$A$2:$A$500=7)*('射擊表'!$B$2:$B$500=S56),0)),NA())</f>
      </c>
      <c r="V56">
        <f t="array" ref="V56">IFERROR(SMALL(IF('射擊表'!$A$2:$A$500=8,'射擊表'!$B$2:$B$500),55),NA())</f>
      </c>
      <c r="W56">
        <f t="array" ref="W56">IFERROR(INDEX('射擊表'!$C$2:$C$500,MATCH(1,('射擊表'!$A$2:$A$500=8)*('射擊表'!$B$2:$B$500=V56),0)),NA())</f>
      </c>
      <c r="X56">
        <f t="array" ref="X56">IFERROR(INDEX('射擊表'!$D$2:$D$500,MATCH(1,('射擊表'!$A$2:$A$500=8)*('射擊表'!$B$2:$B$500=V56),0)),NA())</f>
      </c>
      <c r="Y56">
        <f t="array" ref="Y56">IFERROR(SMALL(IF('射擊表'!$A$2:$A$500=9,'射擊表'!$B$2:$B$500),55),NA())</f>
      </c>
      <c r="Z56">
        <f t="array" ref="Z56">IFERROR(INDEX('射擊表'!$C$2:$C$500,MATCH(1,('射擊表'!$A$2:$A$500=9)*('射擊表'!$B$2:$B$500=Y56),0)),NA())</f>
      </c>
      <c r="AA56">
        <f t="array" ref="AA56">IFERROR(INDEX('射擊表'!$D$2:$D$500,MATCH(1,('射擊表'!$A$2:$A$500=9)*('射擊表'!$B$2:$B$500=Y56),0)),NA())</f>
      </c>
    </row>
    <row r="57">
      <c r="A57">
        <f t="array" ref="A57">IFERROR(SMALL(IF('射擊表'!$A$2:$A$500=1,'射擊表'!$B$2:$B$500),56),NA())</f>
      </c>
      <c r="B57">
        <f t="array" ref="B57">IFERROR(INDEX('射擊表'!$C$2:$C$500,MATCH(1,('射擊表'!$A$2:$A$500=1)*('射擊表'!$B$2:$B$500=A57),0)),NA())</f>
      </c>
      <c r="C57">
        <f t="array" ref="C57">IFERROR(INDEX('射擊表'!$D$2:$D$500,MATCH(1,('射擊表'!$A$2:$A$500=1)*('射擊表'!$B$2:$B$500=A57),0)),NA())</f>
      </c>
      <c r="D57">
        <f t="array" ref="D57">IFERROR(SMALL(IF('射擊表'!$A$2:$A$500=2,'射擊表'!$B$2:$B$500),56),NA())</f>
      </c>
      <c r="E57">
        <f t="array" ref="E57">IFERROR(INDEX('射擊表'!$C$2:$C$500,MATCH(1,('射擊表'!$A$2:$A$500=2)*('射擊表'!$B$2:$B$500=D57),0)),NA())</f>
      </c>
      <c r="F57">
        <f t="array" ref="F57">IFERROR(INDEX('射擊表'!$D$2:$D$500,MATCH(1,('射擊表'!$A$2:$A$500=2)*('射擊表'!$B$2:$B$500=D57),0)),NA())</f>
      </c>
      <c r="G57">
        <f t="array" ref="G57">IFERROR(SMALL(IF('射擊表'!$A$2:$A$500=3,'射擊表'!$B$2:$B$500),56),NA())</f>
      </c>
      <c r="H57">
        <f t="array" ref="H57">IFERROR(INDEX('射擊表'!$C$2:$C$500,MATCH(1,('射擊表'!$A$2:$A$500=3)*('射擊表'!$B$2:$B$500=G57),0)),NA())</f>
      </c>
      <c r="I57">
        <f t="array" ref="I57">IFERROR(INDEX('射擊表'!$D$2:$D$500,MATCH(1,('射擊表'!$A$2:$A$500=3)*('射擊表'!$B$2:$B$500=G57),0)),NA())</f>
      </c>
      <c r="J57">
        <f t="array" ref="J57">IFERROR(SMALL(IF('射擊表'!$A$2:$A$500=4,'射擊表'!$B$2:$B$500),56),NA())</f>
      </c>
      <c r="K57">
        <f t="array" ref="K57">IFERROR(INDEX('射擊表'!$C$2:$C$500,MATCH(1,('射擊表'!$A$2:$A$500=4)*('射擊表'!$B$2:$B$500=J57),0)),NA())</f>
      </c>
      <c r="L57">
        <f t="array" ref="L57">IFERROR(INDEX('射擊表'!$D$2:$D$500,MATCH(1,('射擊表'!$A$2:$A$500=4)*('射擊表'!$B$2:$B$500=J57),0)),NA())</f>
      </c>
      <c r="M57">
        <f t="array" ref="M57">IFERROR(SMALL(IF('射擊表'!$A$2:$A$500=5,'射擊表'!$B$2:$B$500),56),NA())</f>
      </c>
      <c r="N57">
        <f t="array" ref="N57">IFERROR(INDEX('射擊表'!$C$2:$C$500,MATCH(1,('射擊表'!$A$2:$A$500=5)*('射擊表'!$B$2:$B$500=M57),0)),NA())</f>
      </c>
      <c r="O57">
        <f t="array" ref="O57">IFERROR(INDEX('射擊表'!$D$2:$D$500,MATCH(1,('射擊表'!$A$2:$A$500=5)*('射擊表'!$B$2:$B$500=M57),0)),NA())</f>
      </c>
      <c r="P57">
        <f t="array" ref="P57">IFERROR(SMALL(IF('射擊表'!$A$2:$A$500=6,'射擊表'!$B$2:$B$500),56),NA())</f>
      </c>
      <c r="Q57">
        <f t="array" ref="Q57">IFERROR(INDEX('射擊表'!$C$2:$C$500,MATCH(1,('射擊表'!$A$2:$A$500=6)*('射擊表'!$B$2:$B$500=P57),0)),NA())</f>
      </c>
      <c r="R57">
        <f t="array" ref="R57">IFERROR(INDEX('射擊表'!$D$2:$D$500,MATCH(1,('射擊表'!$A$2:$A$500=6)*('射擊表'!$B$2:$B$500=P57),0)),NA())</f>
      </c>
      <c r="S57">
        <f t="array" ref="S57">IFERROR(SMALL(IF('射擊表'!$A$2:$A$500=7,'射擊表'!$B$2:$B$500),56),NA())</f>
      </c>
      <c r="T57">
        <f t="array" ref="T57">IFERROR(INDEX('射擊表'!$C$2:$C$500,MATCH(1,('射擊表'!$A$2:$A$500=7)*('射擊表'!$B$2:$B$500=S57),0)),NA())</f>
      </c>
      <c r="U57">
        <f t="array" ref="U57">IFERROR(INDEX('射擊表'!$D$2:$D$500,MATCH(1,('射擊表'!$A$2:$A$500=7)*('射擊表'!$B$2:$B$500=S57),0)),NA())</f>
      </c>
      <c r="V57">
        <f t="array" ref="V57">IFERROR(SMALL(IF('射擊表'!$A$2:$A$500=8,'射擊表'!$B$2:$B$500),56),NA())</f>
      </c>
      <c r="W57">
        <f t="array" ref="W57">IFERROR(INDEX('射擊表'!$C$2:$C$500,MATCH(1,('射擊表'!$A$2:$A$500=8)*('射擊表'!$B$2:$B$500=V57),0)),NA())</f>
      </c>
      <c r="X57">
        <f t="array" ref="X57">IFERROR(INDEX('射擊表'!$D$2:$D$500,MATCH(1,('射擊表'!$A$2:$A$500=8)*('射擊表'!$B$2:$B$500=V57),0)),NA())</f>
      </c>
      <c r="Y57">
        <f t="array" ref="Y57">IFERROR(SMALL(IF('射擊表'!$A$2:$A$500=9,'射擊表'!$B$2:$B$500),56),NA())</f>
      </c>
      <c r="Z57">
        <f t="array" ref="Z57">IFERROR(INDEX('射擊表'!$C$2:$C$500,MATCH(1,('射擊表'!$A$2:$A$500=9)*('射擊表'!$B$2:$B$500=Y57),0)),NA())</f>
      </c>
      <c r="AA57">
        <f t="array" ref="AA57">IFERROR(INDEX('射擊表'!$D$2:$D$500,MATCH(1,('射擊表'!$A$2:$A$500=9)*('射擊表'!$B$2:$B$500=Y57),0)),NA())</f>
      </c>
    </row>
    <row r="58">
      <c r="A58">
        <f t="array" ref="A58">IFERROR(SMALL(IF('射擊表'!$A$2:$A$500=1,'射擊表'!$B$2:$B$500),57),NA())</f>
      </c>
      <c r="B58">
        <f t="array" ref="B58">IFERROR(INDEX('射擊表'!$C$2:$C$500,MATCH(1,('射擊表'!$A$2:$A$500=1)*('射擊表'!$B$2:$B$500=A58),0)),NA())</f>
      </c>
      <c r="C58">
        <f t="array" ref="C58">IFERROR(INDEX('射擊表'!$D$2:$D$500,MATCH(1,('射擊表'!$A$2:$A$500=1)*('射擊表'!$B$2:$B$500=A58),0)),NA())</f>
      </c>
      <c r="D58">
        <f t="array" ref="D58">IFERROR(SMALL(IF('射擊表'!$A$2:$A$500=2,'射擊表'!$B$2:$B$500),57),NA())</f>
      </c>
      <c r="E58">
        <f t="array" ref="E58">IFERROR(INDEX('射擊表'!$C$2:$C$500,MATCH(1,('射擊表'!$A$2:$A$500=2)*('射擊表'!$B$2:$B$500=D58),0)),NA())</f>
      </c>
      <c r="F58">
        <f t="array" ref="F58">IFERROR(INDEX('射擊表'!$D$2:$D$500,MATCH(1,('射擊表'!$A$2:$A$500=2)*('射擊表'!$B$2:$B$500=D58),0)),NA())</f>
      </c>
      <c r="G58">
        <f t="array" ref="G58">IFERROR(SMALL(IF('射擊表'!$A$2:$A$500=3,'射擊表'!$B$2:$B$500),57),NA())</f>
      </c>
      <c r="H58">
        <f t="array" ref="H58">IFERROR(INDEX('射擊表'!$C$2:$C$500,MATCH(1,('射擊表'!$A$2:$A$500=3)*('射擊表'!$B$2:$B$500=G58),0)),NA())</f>
      </c>
      <c r="I58">
        <f t="array" ref="I58">IFERROR(INDEX('射擊表'!$D$2:$D$500,MATCH(1,('射擊表'!$A$2:$A$500=3)*('射擊表'!$B$2:$B$500=G58),0)),NA())</f>
      </c>
      <c r="J58">
        <f t="array" ref="J58">IFERROR(SMALL(IF('射擊表'!$A$2:$A$500=4,'射擊表'!$B$2:$B$500),57),NA())</f>
      </c>
      <c r="K58">
        <f t="array" ref="K58">IFERROR(INDEX('射擊表'!$C$2:$C$500,MATCH(1,('射擊表'!$A$2:$A$500=4)*('射擊表'!$B$2:$B$500=J58),0)),NA())</f>
      </c>
      <c r="L58">
        <f t="array" ref="L58">IFERROR(INDEX('射擊表'!$D$2:$D$500,MATCH(1,('射擊表'!$A$2:$A$500=4)*('射擊表'!$B$2:$B$500=J58),0)),NA())</f>
      </c>
      <c r="M58">
        <f t="array" ref="M58">IFERROR(SMALL(IF('射擊表'!$A$2:$A$500=5,'射擊表'!$B$2:$B$500),57),NA())</f>
      </c>
      <c r="N58">
        <f t="array" ref="N58">IFERROR(INDEX('射擊表'!$C$2:$C$500,MATCH(1,('射擊表'!$A$2:$A$500=5)*('射擊表'!$B$2:$B$500=M58),0)),NA())</f>
      </c>
      <c r="O58">
        <f t="array" ref="O58">IFERROR(INDEX('射擊表'!$D$2:$D$500,MATCH(1,('射擊表'!$A$2:$A$500=5)*('射擊表'!$B$2:$B$500=M58),0)),NA())</f>
      </c>
      <c r="P58">
        <f t="array" ref="P58">IFERROR(SMALL(IF('射擊表'!$A$2:$A$500=6,'射擊表'!$B$2:$B$500),57),NA())</f>
      </c>
      <c r="Q58">
        <f t="array" ref="Q58">IFERROR(INDEX('射擊表'!$C$2:$C$500,MATCH(1,('射擊表'!$A$2:$A$500=6)*('射擊表'!$B$2:$B$500=P58),0)),NA())</f>
      </c>
      <c r="R58">
        <f t="array" ref="R58">IFERROR(INDEX('射擊表'!$D$2:$D$500,MATCH(1,('射擊表'!$A$2:$A$500=6)*('射擊表'!$B$2:$B$500=P58),0)),NA())</f>
      </c>
      <c r="S58">
        <f t="array" ref="S58">IFERROR(SMALL(IF('射擊表'!$A$2:$A$500=7,'射擊表'!$B$2:$B$500),57),NA())</f>
      </c>
      <c r="T58">
        <f t="array" ref="T58">IFERROR(INDEX('射擊表'!$C$2:$C$500,MATCH(1,('射擊表'!$A$2:$A$500=7)*('射擊表'!$B$2:$B$500=S58),0)),NA())</f>
      </c>
      <c r="U58">
        <f t="array" ref="U58">IFERROR(INDEX('射擊表'!$D$2:$D$500,MATCH(1,('射擊表'!$A$2:$A$500=7)*('射擊表'!$B$2:$B$500=S58),0)),NA())</f>
      </c>
      <c r="V58">
        <f t="array" ref="V58">IFERROR(SMALL(IF('射擊表'!$A$2:$A$500=8,'射擊表'!$B$2:$B$500),57),NA())</f>
      </c>
      <c r="W58">
        <f t="array" ref="W58">IFERROR(INDEX('射擊表'!$C$2:$C$500,MATCH(1,('射擊表'!$A$2:$A$500=8)*('射擊表'!$B$2:$B$500=V58),0)),NA())</f>
      </c>
      <c r="X58">
        <f t="array" ref="X58">IFERROR(INDEX('射擊表'!$D$2:$D$500,MATCH(1,('射擊表'!$A$2:$A$500=8)*('射擊表'!$B$2:$B$500=V58),0)),NA())</f>
      </c>
      <c r="Y58">
        <f t="array" ref="Y58">IFERROR(SMALL(IF('射擊表'!$A$2:$A$500=9,'射擊表'!$B$2:$B$500),57),NA())</f>
      </c>
      <c r="Z58">
        <f t="array" ref="Z58">IFERROR(INDEX('射擊表'!$C$2:$C$500,MATCH(1,('射擊表'!$A$2:$A$500=9)*('射擊表'!$B$2:$B$500=Y58),0)),NA())</f>
      </c>
      <c r="AA58">
        <f t="array" ref="AA58">IFERROR(INDEX('射擊表'!$D$2:$D$500,MATCH(1,('射擊表'!$A$2:$A$500=9)*('射擊表'!$B$2:$B$500=Y58),0)),NA())</f>
      </c>
    </row>
    <row r="59">
      <c r="A59">
        <f t="array" ref="A59">IFERROR(SMALL(IF('射擊表'!$A$2:$A$500=1,'射擊表'!$B$2:$B$500),58),NA())</f>
      </c>
      <c r="B59">
        <f t="array" ref="B59">IFERROR(INDEX('射擊表'!$C$2:$C$500,MATCH(1,('射擊表'!$A$2:$A$500=1)*('射擊表'!$B$2:$B$500=A59),0)),NA())</f>
      </c>
      <c r="C59">
        <f t="array" ref="C59">IFERROR(INDEX('射擊表'!$D$2:$D$500,MATCH(1,('射擊表'!$A$2:$A$500=1)*('射擊表'!$B$2:$B$500=A59),0)),NA())</f>
      </c>
      <c r="D59">
        <f t="array" ref="D59">IFERROR(SMALL(IF('射擊表'!$A$2:$A$500=2,'射擊表'!$B$2:$B$500),58),NA())</f>
      </c>
      <c r="E59">
        <f t="array" ref="E59">IFERROR(INDEX('射擊表'!$C$2:$C$500,MATCH(1,('射擊表'!$A$2:$A$500=2)*('射擊表'!$B$2:$B$500=D59),0)),NA())</f>
      </c>
      <c r="F59">
        <f t="array" ref="F59">IFERROR(INDEX('射擊表'!$D$2:$D$500,MATCH(1,('射擊表'!$A$2:$A$500=2)*('射擊表'!$B$2:$B$500=D59),0)),NA())</f>
      </c>
      <c r="G59">
        <f t="array" ref="G59">IFERROR(SMALL(IF('射擊表'!$A$2:$A$500=3,'射擊表'!$B$2:$B$500),58),NA())</f>
      </c>
      <c r="H59">
        <f t="array" ref="H59">IFERROR(INDEX('射擊表'!$C$2:$C$500,MATCH(1,('射擊表'!$A$2:$A$500=3)*('射擊表'!$B$2:$B$500=G59),0)),NA())</f>
      </c>
      <c r="I59">
        <f t="array" ref="I59">IFERROR(INDEX('射擊表'!$D$2:$D$500,MATCH(1,('射擊表'!$A$2:$A$500=3)*('射擊表'!$B$2:$B$500=G59),0)),NA())</f>
      </c>
      <c r="J59">
        <f t="array" ref="J59">IFERROR(SMALL(IF('射擊表'!$A$2:$A$500=4,'射擊表'!$B$2:$B$500),58),NA())</f>
      </c>
      <c r="K59">
        <f t="array" ref="K59">IFERROR(INDEX('射擊表'!$C$2:$C$500,MATCH(1,('射擊表'!$A$2:$A$500=4)*('射擊表'!$B$2:$B$500=J59),0)),NA())</f>
      </c>
      <c r="L59">
        <f t="array" ref="L59">IFERROR(INDEX('射擊表'!$D$2:$D$500,MATCH(1,('射擊表'!$A$2:$A$500=4)*('射擊表'!$B$2:$B$500=J59),0)),NA())</f>
      </c>
      <c r="M59">
        <f t="array" ref="M59">IFERROR(SMALL(IF('射擊表'!$A$2:$A$500=5,'射擊表'!$B$2:$B$500),58),NA())</f>
      </c>
      <c r="N59">
        <f t="array" ref="N59">IFERROR(INDEX('射擊表'!$C$2:$C$500,MATCH(1,('射擊表'!$A$2:$A$500=5)*('射擊表'!$B$2:$B$500=M59),0)),NA())</f>
      </c>
      <c r="O59">
        <f t="array" ref="O59">IFERROR(INDEX('射擊表'!$D$2:$D$500,MATCH(1,('射擊表'!$A$2:$A$500=5)*('射擊表'!$B$2:$B$500=M59),0)),NA())</f>
      </c>
      <c r="P59">
        <f t="array" ref="P59">IFERROR(SMALL(IF('射擊表'!$A$2:$A$500=6,'射擊表'!$B$2:$B$500),58),NA())</f>
      </c>
      <c r="Q59">
        <f t="array" ref="Q59">IFERROR(INDEX('射擊表'!$C$2:$C$500,MATCH(1,('射擊表'!$A$2:$A$500=6)*('射擊表'!$B$2:$B$500=P59),0)),NA())</f>
      </c>
      <c r="R59">
        <f t="array" ref="R59">IFERROR(INDEX('射擊表'!$D$2:$D$500,MATCH(1,('射擊表'!$A$2:$A$500=6)*('射擊表'!$B$2:$B$500=P59),0)),NA())</f>
      </c>
      <c r="S59">
        <f t="array" ref="S59">IFERROR(SMALL(IF('射擊表'!$A$2:$A$500=7,'射擊表'!$B$2:$B$500),58),NA())</f>
      </c>
      <c r="T59">
        <f t="array" ref="T59">IFERROR(INDEX('射擊表'!$C$2:$C$500,MATCH(1,('射擊表'!$A$2:$A$500=7)*('射擊表'!$B$2:$B$500=S59),0)),NA())</f>
      </c>
      <c r="U59">
        <f t="array" ref="U59">IFERROR(INDEX('射擊表'!$D$2:$D$500,MATCH(1,('射擊表'!$A$2:$A$500=7)*('射擊表'!$B$2:$B$500=S59),0)),NA())</f>
      </c>
      <c r="V59">
        <f t="array" ref="V59">IFERROR(SMALL(IF('射擊表'!$A$2:$A$500=8,'射擊表'!$B$2:$B$500),58),NA())</f>
      </c>
      <c r="W59">
        <f t="array" ref="W59">IFERROR(INDEX('射擊表'!$C$2:$C$500,MATCH(1,('射擊表'!$A$2:$A$500=8)*('射擊表'!$B$2:$B$500=V59),0)),NA())</f>
      </c>
      <c r="X59">
        <f t="array" ref="X59">IFERROR(INDEX('射擊表'!$D$2:$D$500,MATCH(1,('射擊表'!$A$2:$A$500=8)*('射擊表'!$B$2:$B$500=V59),0)),NA())</f>
      </c>
      <c r="Y59">
        <f t="array" ref="Y59">IFERROR(SMALL(IF('射擊表'!$A$2:$A$500=9,'射擊表'!$B$2:$B$500),58),NA())</f>
      </c>
      <c r="Z59">
        <f t="array" ref="Z59">IFERROR(INDEX('射擊表'!$C$2:$C$500,MATCH(1,('射擊表'!$A$2:$A$500=9)*('射擊表'!$B$2:$B$500=Y59),0)),NA())</f>
      </c>
      <c r="AA59">
        <f t="array" ref="AA59">IFERROR(INDEX('射擊表'!$D$2:$D$500,MATCH(1,('射擊表'!$A$2:$A$500=9)*('射擊表'!$B$2:$B$500=Y59),0)),NA())</f>
      </c>
    </row>
    <row r="60">
      <c r="A60">
        <f t="array" ref="A60">IFERROR(SMALL(IF('射擊表'!$A$2:$A$500=1,'射擊表'!$B$2:$B$500),59),NA())</f>
      </c>
      <c r="B60">
        <f t="array" ref="B60">IFERROR(INDEX('射擊表'!$C$2:$C$500,MATCH(1,('射擊表'!$A$2:$A$500=1)*('射擊表'!$B$2:$B$500=A60),0)),NA())</f>
      </c>
      <c r="C60">
        <f t="array" ref="C60">IFERROR(INDEX('射擊表'!$D$2:$D$500,MATCH(1,('射擊表'!$A$2:$A$500=1)*('射擊表'!$B$2:$B$500=A60),0)),NA())</f>
      </c>
      <c r="D60">
        <f t="array" ref="D60">IFERROR(SMALL(IF('射擊表'!$A$2:$A$500=2,'射擊表'!$B$2:$B$500),59),NA())</f>
      </c>
      <c r="E60">
        <f t="array" ref="E60">IFERROR(INDEX('射擊表'!$C$2:$C$500,MATCH(1,('射擊表'!$A$2:$A$500=2)*('射擊表'!$B$2:$B$500=D60),0)),NA())</f>
      </c>
      <c r="F60">
        <f t="array" ref="F60">IFERROR(INDEX('射擊表'!$D$2:$D$500,MATCH(1,('射擊表'!$A$2:$A$500=2)*('射擊表'!$B$2:$B$500=D60),0)),NA())</f>
      </c>
      <c r="G60">
        <f t="array" ref="G60">IFERROR(SMALL(IF('射擊表'!$A$2:$A$500=3,'射擊表'!$B$2:$B$500),59),NA())</f>
      </c>
      <c r="H60">
        <f t="array" ref="H60">IFERROR(INDEX('射擊表'!$C$2:$C$500,MATCH(1,('射擊表'!$A$2:$A$500=3)*('射擊表'!$B$2:$B$500=G60),0)),NA())</f>
      </c>
      <c r="I60">
        <f t="array" ref="I60">IFERROR(INDEX('射擊表'!$D$2:$D$500,MATCH(1,('射擊表'!$A$2:$A$500=3)*('射擊表'!$B$2:$B$500=G60),0)),NA())</f>
      </c>
      <c r="J60">
        <f t="array" ref="J60">IFERROR(SMALL(IF('射擊表'!$A$2:$A$500=4,'射擊表'!$B$2:$B$500),59),NA())</f>
      </c>
      <c r="K60">
        <f t="array" ref="K60">IFERROR(INDEX('射擊表'!$C$2:$C$500,MATCH(1,('射擊表'!$A$2:$A$500=4)*('射擊表'!$B$2:$B$500=J60),0)),NA())</f>
      </c>
      <c r="L60">
        <f t="array" ref="L60">IFERROR(INDEX('射擊表'!$D$2:$D$500,MATCH(1,('射擊表'!$A$2:$A$500=4)*('射擊表'!$B$2:$B$500=J60),0)),NA())</f>
      </c>
      <c r="M60">
        <f t="array" ref="M60">IFERROR(SMALL(IF('射擊表'!$A$2:$A$500=5,'射擊表'!$B$2:$B$500),59),NA())</f>
      </c>
      <c r="N60">
        <f t="array" ref="N60">IFERROR(INDEX('射擊表'!$C$2:$C$500,MATCH(1,('射擊表'!$A$2:$A$500=5)*('射擊表'!$B$2:$B$500=M60),0)),NA())</f>
      </c>
      <c r="O60">
        <f t="array" ref="O60">IFERROR(INDEX('射擊表'!$D$2:$D$500,MATCH(1,('射擊表'!$A$2:$A$500=5)*('射擊表'!$B$2:$B$500=M60),0)),NA())</f>
      </c>
      <c r="P60">
        <f t="array" ref="P60">IFERROR(SMALL(IF('射擊表'!$A$2:$A$500=6,'射擊表'!$B$2:$B$500),59),NA())</f>
      </c>
      <c r="Q60">
        <f t="array" ref="Q60">IFERROR(INDEX('射擊表'!$C$2:$C$500,MATCH(1,('射擊表'!$A$2:$A$500=6)*('射擊表'!$B$2:$B$500=P60),0)),NA())</f>
      </c>
      <c r="R60">
        <f t="array" ref="R60">IFERROR(INDEX('射擊表'!$D$2:$D$500,MATCH(1,('射擊表'!$A$2:$A$500=6)*('射擊表'!$B$2:$B$500=P60),0)),NA())</f>
      </c>
      <c r="S60">
        <f t="array" ref="S60">IFERROR(SMALL(IF('射擊表'!$A$2:$A$500=7,'射擊表'!$B$2:$B$500),59),NA())</f>
      </c>
      <c r="T60">
        <f t="array" ref="T60">IFERROR(INDEX('射擊表'!$C$2:$C$500,MATCH(1,('射擊表'!$A$2:$A$500=7)*('射擊表'!$B$2:$B$500=S60),0)),NA())</f>
      </c>
      <c r="U60">
        <f t="array" ref="U60">IFERROR(INDEX('射擊表'!$D$2:$D$500,MATCH(1,('射擊表'!$A$2:$A$500=7)*('射擊表'!$B$2:$B$500=S60),0)),NA())</f>
      </c>
      <c r="V60">
        <f t="array" ref="V60">IFERROR(SMALL(IF('射擊表'!$A$2:$A$500=8,'射擊表'!$B$2:$B$500),59),NA())</f>
      </c>
      <c r="W60">
        <f t="array" ref="W60">IFERROR(INDEX('射擊表'!$C$2:$C$500,MATCH(1,('射擊表'!$A$2:$A$500=8)*('射擊表'!$B$2:$B$500=V60),0)),NA())</f>
      </c>
      <c r="X60">
        <f t="array" ref="X60">IFERROR(INDEX('射擊表'!$D$2:$D$500,MATCH(1,('射擊表'!$A$2:$A$500=8)*('射擊表'!$B$2:$B$500=V60),0)),NA())</f>
      </c>
      <c r="Y60">
        <f t="array" ref="Y60">IFERROR(SMALL(IF('射擊表'!$A$2:$A$500=9,'射擊表'!$B$2:$B$500),59),NA())</f>
      </c>
      <c r="Z60">
        <f t="array" ref="Z60">IFERROR(INDEX('射擊表'!$C$2:$C$500,MATCH(1,('射擊表'!$A$2:$A$500=9)*('射擊表'!$B$2:$B$500=Y60),0)),NA())</f>
      </c>
      <c r="AA60">
        <f t="array" ref="AA60">IFERROR(INDEX('射擊表'!$D$2:$D$500,MATCH(1,('射擊表'!$A$2:$A$500=9)*('射擊表'!$B$2:$B$500=Y60),0)),NA())</f>
      </c>
    </row>
    <row r="61">
      <c r="A61">
        <f t="array" ref="A61">IFERROR(SMALL(IF('射擊表'!$A$2:$A$500=1,'射擊表'!$B$2:$B$500),60),NA())</f>
      </c>
      <c r="B61">
        <f t="array" ref="B61">IFERROR(INDEX('射擊表'!$C$2:$C$500,MATCH(1,('射擊表'!$A$2:$A$500=1)*('射擊表'!$B$2:$B$500=A61),0)),NA())</f>
      </c>
      <c r="C61">
        <f t="array" ref="C61">IFERROR(INDEX('射擊表'!$D$2:$D$500,MATCH(1,('射擊表'!$A$2:$A$500=1)*('射擊表'!$B$2:$B$500=A61),0)),NA())</f>
      </c>
      <c r="D61">
        <f t="array" ref="D61">IFERROR(SMALL(IF('射擊表'!$A$2:$A$500=2,'射擊表'!$B$2:$B$500),60),NA())</f>
      </c>
      <c r="E61">
        <f t="array" ref="E61">IFERROR(INDEX('射擊表'!$C$2:$C$500,MATCH(1,('射擊表'!$A$2:$A$500=2)*('射擊表'!$B$2:$B$500=D61),0)),NA())</f>
      </c>
      <c r="F61">
        <f t="array" ref="F61">IFERROR(INDEX('射擊表'!$D$2:$D$500,MATCH(1,('射擊表'!$A$2:$A$500=2)*('射擊表'!$B$2:$B$500=D61),0)),NA())</f>
      </c>
      <c r="G61">
        <f t="array" ref="G61">IFERROR(SMALL(IF('射擊表'!$A$2:$A$500=3,'射擊表'!$B$2:$B$500),60),NA())</f>
      </c>
      <c r="H61">
        <f t="array" ref="H61">IFERROR(INDEX('射擊表'!$C$2:$C$500,MATCH(1,('射擊表'!$A$2:$A$500=3)*('射擊表'!$B$2:$B$500=G61),0)),NA())</f>
      </c>
      <c r="I61">
        <f t="array" ref="I61">IFERROR(INDEX('射擊表'!$D$2:$D$500,MATCH(1,('射擊表'!$A$2:$A$500=3)*('射擊表'!$B$2:$B$500=G61),0)),NA())</f>
      </c>
      <c r="J61">
        <f t="array" ref="J61">IFERROR(SMALL(IF('射擊表'!$A$2:$A$500=4,'射擊表'!$B$2:$B$500),60),NA())</f>
      </c>
      <c r="K61">
        <f t="array" ref="K61">IFERROR(INDEX('射擊表'!$C$2:$C$500,MATCH(1,('射擊表'!$A$2:$A$500=4)*('射擊表'!$B$2:$B$500=J61),0)),NA())</f>
      </c>
      <c r="L61">
        <f t="array" ref="L61">IFERROR(INDEX('射擊表'!$D$2:$D$500,MATCH(1,('射擊表'!$A$2:$A$500=4)*('射擊表'!$B$2:$B$500=J61),0)),NA())</f>
      </c>
      <c r="M61">
        <f t="array" ref="M61">IFERROR(SMALL(IF('射擊表'!$A$2:$A$500=5,'射擊表'!$B$2:$B$500),60),NA())</f>
      </c>
      <c r="N61">
        <f t="array" ref="N61">IFERROR(INDEX('射擊表'!$C$2:$C$500,MATCH(1,('射擊表'!$A$2:$A$500=5)*('射擊表'!$B$2:$B$500=M61),0)),NA())</f>
      </c>
      <c r="O61">
        <f t="array" ref="O61">IFERROR(INDEX('射擊表'!$D$2:$D$500,MATCH(1,('射擊表'!$A$2:$A$500=5)*('射擊表'!$B$2:$B$500=M61),0)),NA())</f>
      </c>
      <c r="P61">
        <f t="array" ref="P61">IFERROR(SMALL(IF('射擊表'!$A$2:$A$500=6,'射擊表'!$B$2:$B$500),60),NA())</f>
      </c>
      <c r="Q61">
        <f t="array" ref="Q61">IFERROR(INDEX('射擊表'!$C$2:$C$500,MATCH(1,('射擊表'!$A$2:$A$500=6)*('射擊表'!$B$2:$B$500=P61),0)),NA())</f>
      </c>
      <c r="R61">
        <f t="array" ref="R61">IFERROR(INDEX('射擊表'!$D$2:$D$500,MATCH(1,('射擊表'!$A$2:$A$500=6)*('射擊表'!$B$2:$B$500=P61),0)),NA())</f>
      </c>
      <c r="S61">
        <f t="array" ref="S61">IFERROR(SMALL(IF('射擊表'!$A$2:$A$500=7,'射擊表'!$B$2:$B$500),60),NA())</f>
      </c>
      <c r="T61">
        <f t="array" ref="T61">IFERROR(INDEX('射擊表'!$C$2:$C$500,MATCH(1,('射擊表'!$A$2:$A$500=7)*('射擊表'!$B$2:$B$500=S61),0)),NA())</f>
      </c>
      <c r="U61">
        <f t="array" ref="U61">IFERROR(INDEX('射擊表'!$D$2:$D$500,MATCH(1,('射擊表'!$A$2:$A$500=7)*('射擊表'!$B$2:$B$500=S61),0)),NA())</f>
      </c>
      <c r="V61">
        <f t="array" ref="V61">IFERROR(SMALL(IF('射擊表'!$A$2:$A$500=8,'射擊表'!$B$2:$B$500),60),NA())</f>
      </c>
      <c r="W61">
        <f t="array" ref="W61">IFERROR(INDEX('射擊表'!$C$2:$C$500,MATCH(1,('射擊表'!$A$2:$A$500=8)*('射擊表'!$B$2:$B$500=V61),0)),NA())</f>
      </c>
      <c r="X61">
        <f t="array" ref="X61">IFERROR(INDEX('射擊表'!$D$2:$D$500,MATCH(1,('射擊表'!$A$2:$A$500=8)*('射擊表'!$B$2:$B$500=V61),0)),NA())</f>
      </c>
      <c r="Y61">
        <f t="array" ref="Y61">IFERROR(SMALL(IF('射擊表'!$A$2:$A$500=9,'射擊表'!$B$2:$B$500),60),NA())</f>
      </c>
      <c r="Z61">
        <f t="array" ref="Z61">IFERROR(INDEX('射擊表'!$C$2:$C$500,MATCH(1,('射擊表'!$A$2:$A$500=9)*('射擊表'!$B$2:$B$500=Y61),0)),NA())</f>
      </c>
      <c r="AA61">
        <f t="array" ref="AA61">IFERROR(INDEX('射擊表'!$D$2:$D$500,MATCH(1,('射擊表'!$A$2:$A$500=9)*('射擊表'!$B$2:$B$500=Y61),0)),NA())</f>
      </c>
    </row>
  </sheetData>
</worksheet>
</file>