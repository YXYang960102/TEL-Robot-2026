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射擊表" sheetId="1" r:id="rId1"/>
    <sheet name="說明" sheetId="2" r:id="rId2"/>
    <sheet name="圖表資料" sheetId="3" state="hidden" r:id="rId3"/>
  </sheets>
  <calcPr calcId="191029" fullCalcOnLoad="1"/>
</workbook>
</file>

<file path=xl/styles.xml><?xml version="1.0" encoding="utf-8"?>
<styleSheet xmlns="http://schemas.openxmlformats.org/spreadsheetml/2006/main">
  <fonts count="2"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zh-TW" sz="1200" b="1"/>
              <a:t>下排（洞口 4，約 120 cm） 射擊曲線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轉速 (%)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62728"/>
              </a:solidFill>
            </c:spPr>
          </c:marker>
          <c:trendline>
            <c:name>轉速 (%) 趨勢（乘冪）</c:name>
            <c:spPr>
              <a:ln w="25400">
                <a:solidFill>
                  <a:srgbClr val="D62728"/>
                </a:solidFill>
              </a:ln>
            </c:spPr>
            <c:trendlineType val="power"/>
            <c:dispRSqr val="0"/>
            <c:dispEq val="0"/>
          </c:trendline>
          <c:xVal>
            <c:numRef>
              <c:f>'圖表資料'!$A$2:$A$61</c:f>
            </c:numRef>
          </c:xVal>
          <c:yVal>
            <c:numRef>
              <c:f>'圖表資料'!$C$2:$C$61</c:f>
            </c:numRef>
          </c:yVal>
          <c:smooth val="0"/>
        </c:ser>
        <c:axId val="510000001"/>
        <c:axId val="510000002"/>
      </c:scatterChart>
      <c:scatterChart>
        <c:scatterStyle val="lineMarker"/>
        <c:varyColors val="0"/>
        <c:ser>
          <c:idx val="1"/>
          <c:order val="1"/>
          <c:tx>
            <c:v>仰角 (µs)</c:v>
          </c:tx>
          <c:spPr>
            <a:ln w="22225">
              <a:solidFill>
                <a:srgbClr val="1F77B4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xVal>
            <c:numRef>
              <c:f>'圖表資料'!$A$2:$A$61</c:f>
            </c:numRef>
          </c:xVal>
          <c:yVal>
            <c:numRef>
              <c:f>'圖表資料'!$B$2:$B$61</c:f>
            </c:numRef>
          </c:yVal>
          <c:smooth val="0"/>
        </c:ser>
        <c:axId val="510000003"/>
        <c:axId val="510000004"/>
      </c:scatterChart>
      <c:valAx>
        <c:axId val="510000001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到目標距離 (m)</a:t>
                </a:r>
              </a:p>
            </c:rich>
          </c:tx>
          <c:overlay val="0"/>
        </c:title>
        <c:numFmt formatCode="General" sourceLinked="0"/>
        <c:tickLblPos val="nextTo"/>
        <c:crossAx val="510000002"/>
        <c:crosses val="autoZero"/>
        <c:crossBetween val="midCat"/>
      </c:valAx>
      <c:valAx>
        <c:axId val="51000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轉速 (%)</a:t>
                </a:r>
              </a:p>
            </c:rich>
          </c:tx>
          <c:overlay val="0"/>
        </c:title>
        <c:numFmt formatCode="General" sourceLinked="0"/>
        <c:tickLblPos val="nextTo"/>
        <c:crossAx val="510000001"/>
        <c:crosses val="autoZero"/>
        <c:crossBetween val="midCat"/>
      </c:valAx>
      <c:valAx>
        <c:axId val="510000003"/>
        <c:scaling>
          <c:orientation val="minMax"/>
          <c:min val="0"/>
        </c:scaling>
        <c:delete val="1"/>
        <c:axPos val="b"/>
        <c:numFmt formatCode="General" sourceLinked="0"/>
        <c:tickLblPos val="nextTo"/>
        <c:crossAx val="510000004"/>
        <c:crosses val="autoZero"/>
        <c:crossBetween val="midCat"/>
      </c:valAx>
      <c:valAx>
        <c:axId val="51000000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仰角 (µs)</a:t>
                </a:r>
              </a:p>
            </c:rich>
          </c:tx>
          <c:overlay val="0"/>
        </c:title>
        <c:numFmt formatCode="General" sourceLinked="0"/>
        <c:tickLblPos val="nextTo"/>
        <c:crossAx val="510000003"/>
        <c:crosses val="max"/>
        <c:crossBetween val="midCat"/>
      </c:valAx>
    </c:plotArea>
    <c:legend>
      <c:legendPos val="b"/>
      <c:overlay val="0"/>
    </c:legend>
    <c:plotVisOnly val="0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zh-TW" sz="1200" b="1"/>
              <a:t>中排（洞口 5，約 180 cm） 射擊曲線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轉速 (%)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62728"/>
              </a:solidFill>
            </c:spPr>
          </c:marker>
          <c:trendline>
            <c:name>轉速 (%) 趨勢（乘冪）</c:name>
            <c:spPr>
              <a:ln w="25400">
                <a:solidFill>
                  <a:srgbClr val="D62728"/>
                </a:solidFill>
              </a:ln>
            </c:spPr>
            <c:trendlineType val="power"/>
            <c:dispRSqr val="0"/>
            <c:dispEq val="0"/>
          </c:trendline>
          <c:xVal>
            <c:numRef>
              <c:f>'圖表資料'!$D$2:$D$61</c:f>
            </c:numRef>
          </c:xVal>
          <c:yVal>
            <c:numRef>
              <c:f>'圖表資料'!$F$2:$F$61</c:f>
            </c:numRef>
          </c:yVal>
          <c:smooth val="0"/>
        </c:ser>
        <c:axId val="510000001"/>
        <c:axId val="510000002"/>
      </c:scatterChart>
      <c:scatterChart>
        <c:scatterStyle val="lineMarker"/>
        <c:varyColors val="0"/>
        <c:ser>
          <c:idx val="1"/>
          <c:order val="1"/>
          <c:tx>
            <c:v>仰角 (µs)</c:v>
          </c:tx>
          <c:spPr>
            <a:ln w="22225">
              <a:solidFill>
                <a:srgbClr val="1F77B4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xVal>
            <c:numRef>
              <c:f>'圖表資料'!$D$2:$D$61</c:f>
            </c:numRef>
          </c:xVal>
          <c:yVal>
            <c:numRef>
              <c:f>'圖表資料'!$E$2:$E$61</c:f>
            </c:numRef>
          </c:yVal>
          <c:smooth val="0"/>
        </c:ser>
        <c:axId val="510000003"/>
        <c:axId val="510000004"/>
      </c:scatterChart>
      <c:valAx>
        <c:axId val="510000001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到目標距離 (m)</a:t>
                </a:r>
              </a:p>
            </c:rich>
          </c:tx>
          <c:overlay val="0"/>
        </c:title>
        <c:numFmt formatCode="General" sourceLinked="0"/>
        <c:tickLblPos val="nextTo"/>
        <c:crossAx val="510000002"/>
        <c:crosses val="autoZero"/>
        <c:crossBetween val="midCat"/>
      </c:valAx>
      <c:valAx>
        <c:axId val="51000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轉速 (%)</a:t>
                </a:r>
              </a:p>
            </c:rich>
          </c:tx>
          <c:overlay val="0"/>
        </c:title>
        <c:numFmt formatCode="General" sourceLinked="0"/>
        <c:tickLblPos val="nextTo"/>
        <c:crossAx val="510000001"/>
        <c:crosses val="autoZero"/>
        <c:crossBetween val="midCat"/>
      </c:valAx>
      <c:valAx>
        <c:axId val="510000003"/>
        <c:scaling>
          <c:orientation val="minMax"/>
          <c:min val="0"/>
        </c:scaling>
        <c:delete val="1"/>
        <c:axPos val="b"/>
        <c:numFmt formatCode="General" sourceLinked="0"/>
        <c:tickLblPos val="nextTo"/>
        <c:crossAx val="510000004"/>
        <c:crosses val="autoZero"/>
        <c:crossBetween val="midCat"/>
      </c:valAx>
      <c:valAx>
        <c:axId val="51000000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仰角 (µs)</a:t>
                </a:r>
              </a:p>
            </c:rich>
          </c:tx>
          <c:overlay val="0"/>
        </c:title>
        <c:numFmt formatCode="General" sourceLinked="0"/>
        <c:tickLblPos val="nextTo"/>
        <c:crossAx val="510000003"/>
        <c:crosses val="max"/>
        <c:crossBetween val="midCat"/>
      </c:valAx>
    </c:plotArea>
    <c:legend>
      <c:legendPos val="b"/>
      <c:overlay val="0"/>
    </c:legend>
    <c:plotVisOnly val="0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zh-TW" sz="1200" b="1"/>
              <a:t>上排（洞口 6，約 240 cm） 射擊曲線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轉速 (%)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62728"/>
              </a:solidFill>
            </c:spPr>
          </c:marker>
          <c:trendline>
            <c:name>轉速 (%) 趨勢（乘冪）</c:name>
            <c:spPr>
              <a:ln w="25400">
                <a:solidFill>
                  <a:srgbClr val="D62728"/>
                </a:solidFill>
              </a:ln>
            </c:spPr>
            <c:trendlineType val="power"/>
            <c:dispRSqr val="0"/>
            <c:dispEq val="0"/>
          </c:trendline>
          <c:xVal>
            <c:numRef>
              <c:f>'圖表資料'!$G$2:$G$61</c:f>
            </c:numRef>
          </c:xVal>
          <c:yVal>
            <c:numRef>
              <c:f>'圖表資料'!$I$2:$I$61</c:f>
            </c:numRef>
          </c:yVal>
          <c:smooth val="0"/>
        </c:ser>
        <c:axId val="510000001"/>
        <c:axId val="510000002"/>
      </c:scatterChart>
      <c:scatterChart>
        <c:scatterStyle val="lineMarker"/>
        <c:varyColors val="0"/>
        <c:ser>
          <c:idx val="1"/>
          <c:order val="1"/>
          <c:tx>
            <c:v>仰角 (µs)</c:v>
          </c:tx>
          <c:spPr>
            <a:ln w="22225">
              <a:solidFill>
                <a:srgbClr val="1F77B4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xVal>
            <c:numRef>
              <c:f>'圖表資料'!$G$2:$G$61</c:f>
            </c:numRef>
          </c:xVal>
          <c:yVal>
            <c:numRef>
              <c:f>'圖表資料'!$H$2:$H$61</c:f>
            </c:numRef>
          </c:yVal>
          <c:smooth val="0"/>
        </c:ser>
        <c:axId val="510000003"/>
        <c:axId val="510000004"/>
      </c:scatterChart>
      <c:valAx>
        <c:axId val="510000001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到目標距離 (m)</a:t>
                </a:r>
              </a:p>
            </c:rich>
          </c:tx>
          <c:overlay val="0"/>
        </c:title>
        <c:numFmt formatCode="General" sourceLinked="0"/>
        <c:tickLblPos val="nextTo"/>
        <c:crossAx val="510000002"/>
        <c:crosses val="autoZero"/>
        <c:crossBetween val="midCat"/>
      </c:valAx>
      <c:valAx>
        <c:axId val="51000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轉速 (%)</a:t>
                </a:r>
              </a:p>
            </c:rich>
          </c:tx>
          <c:overlay val="0"/>
        </c:title>
        <c:numFmt formatCode="General" sourceLinked="0"/>
        <c:tickLblPos val="nextTo"/>
        <c:crossAx val="510000001"/>
        <c:crosses val="autoZero"/>
        <c:crossBetween val="midCat"/>
      </c:valAx>
      <c:valAx>
        <c:axId val="510000003"/>
        <c:scaling>
          <c:orientation val="minMax"/>
          <c:min val="0"/>
        </c:scaling>
        <c:delete val="1"/>
        <c:axPos val="b"/>
        <c:numFmt formatCode="General" sourceLinked="0"/>
        <c:tickLblPos val="nextTo"/>
        <c:crossAx val="510000004"/>
        <c:crosses val="autoZero"/>
        <c:crossBetween val="midCat"/>
      </c:valAx>
      <c:valAx>
        <c:axId val="51000000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p>
                <a:pPr>
                  <a:defRPr sz="1000" b="0"/>
                </a:pPr>
                <a:r>
                  <a:rPr lang="zh-TW" sz="1000" b="0"/>
                  <a:t>仰角 (µs)</a:t>
                </a:r>
              </a:p>
            </c:rich>
          </c:tx>
          <c:overlay val="0"/>
        </c:title>
        <c:numFmt formatCode="General" sourceLinked="0"/>
        <c:tickLblPos val="nextTo"/>
        <c:crossAx val="510000003"/>
        <c:crosses val="max"/>
        <c:crossBetween val="midCat"/>
      </c:valAx>
    </c:plotArea>
    <c:legend>
      <c:legendPos val="b"/>
      <c:overlay val="0"/>
    </c:legend>
    <c:plotVisOnly val="0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射擊曲線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3" name="射擊曲線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15</xdr:col>
      <xdr:colOff>0</xdr:colOff>
      <xdr:row>59</xdr:row>
      <xdr:rowOff>0</xdr:rowOff>
    </xdr:to>
    <xdr:graphicFrame macro="">
      <xdr:nvGraphicFramePr>
        <xdr:cNvPr id="4" name="射擊曲線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5" width="11" customWidth="1"/>
  </cols>
  <sheetData>
    <row r="1">
      <c r="A1" t="inlineStr" s="1">
        <is>
          <t>洞口</t>
        </is>
      </c>
      <c r="B1" t="inlineStr" s="1">
        <is>
          <t>距離(m)</t>
        </is>
      </c>
      <c r="C1" t="inlineStr" s="1">
        <is>
          <t>仰角(us)</t>
        </is>
      </c>
      <c r="D1" t="inlineStr" s="1">
        <is>
          <t>轉速</t>
        </is>
      </c>
      <c r="E1" t="inlineStr" s="1">
        <is>
          <t>轉速單位</t>
        </is>
      </c>
    </row>
    <row r="2">
      <c r="A2">
        <v>4</v>
      </c>
      <c r="B2">
        <v>2.85</v>
      </c>
      <c r="C2">
        <v>500</v>
      </c>
      <c r="D2">
        <v>37</v>
      </c>
      <c r="E2" t="inlineStr">
        <is>
          <t>%</t>
        </is>
      </c>
    </row>
    <row r="3">
      <c r="A3">
        <v>4</v>
      </c>
      <c r="B3">
        <v>3.26</v>
      </c>
      <c r="C3">
        <v>500</v>
      </c>
      <c r="D3">
        <v>37</v>
      </c>
      <c r="E3" t="inlineStr">
        <is>
          <t>%</t>
        </is>
      </c>
    </row>
    <row r="4">
      <c r="A4">
        <v>4</v>
      </c>
      <c r="B4">
        <v>3.66</v>
      </c>
      <c r="C4">
        <v>500</v>
      </c>
      <c r="D4">
        <v>38</v>
      </c>
      <c r="E4" t="inlineStr">
        <is>
          <t>%</t>
        </is>
      </c>
    </row>
    <row r="5">
      <c r="A5">
        <v>4</v>
      </c>
      <c r="B5">
        <v>4.1</v>
      </c>
      <c r="C5">
        <v>608</v>
      </c>
      <c r="D5">
        <v>38</v>
      </c>
      <c r="E5" t="inlineStr">
        <is>
          <t>%</t>
        </is>
      </c>
    </row>
    <row r="6">
      <c r="A6">
        <v>4</v>
      </c>
      <c r="B6">
        <v>4.44</v>
      </c>
      <c r="C6">
        <v>500</v>
      </c>
      <c r="D6">
        <v>41</v>
      </c>
      <c r="E6" t="inlineStr">
        <is>
          <t>%</t>
        </is>
      </c>
    </row>
    <row r="7">
      <c r="A7">
        <v>4</v>
      </c>
      <c r="B7">
        <v>5.12</v>
      </c>
      <c r="C7">
        <v>500</v>
      </c>
      <c r="D7">
        <v>42</v>
      </c>
      <c r="E7" t="inlineStr">
        <is>
          <t>%</t>
        </is>
      </c>
    </row>
    <row r="8">
      <c r="A8">
        <v>4</v>
      </c>
      <c r="B8">
        <v>5.48</v>
      </c>
      <c r="C8">
        <v>500</v>
      </c>
      <c r="D8">
        <v>42</v>
      </c>
      <c r="E8" t="inlineStr">
        <is>
          <t>%</t>
        </is>
      </c>
    </row>
    <row r="9">
      <c r="A9">
        <v>4</v>
      </c>
      <c r="B9">
        <v>5.9</v>
      </c>
      <c r="C9">
        <v>500</v>
      </c>
      <c r="D9">
        <v>44</v>
      </c>
      <c r="E9" t="inlineStr">
        <is>
          <t>%</t>
        </is>
      </c>
    </row>
    <row r="10">
      <c r="A10">
        <v>4</v>
      </c>
      <c r="B10">
        <v>6.36</v>
      </c>
      <c r="C10">
        <v>500</v>
      </c>
      <c r="D10">
        <v>47</v>
      </c>
      <c r="E10" t="inlineStr">
        <is>
          <t>%</t>
        </is>
      </c>
    </row>
    <row r="11">
      <c r="A11">
        <v>4</v>
      </c>
      <c r="B11">
        <v>6.75</v>
      </c>
      <c r="C11">
        <v>500</v>
      </c>
      <c r="D11">
        <v>48</v>
      </c>
      <c r="E11" t="inlineStr">
        <is>
          <t>%</t>
        </is>
      </c>
    </row>
    <row r="12">
      <c r="A12">
        <v>4</v>
      </c>
      <c r="B12">
        <v>7.32</v>
      </c>
      <c r="C12">
        <v>500</v>
      </c>
      <c r="D12">
        <v>49</v>
      </c>
      <c r="E12" t="inlineStr">
        <is>
          <t>%</t>
        </is>
      </c>
    </row>
    <row r="13">
      <c r="A13">
        <v>5</v>
      </c>
      <c r="B13">
        <v>7.49</v>
      </c>
      <c r="C13">
        <v>500</v>
      </c>
      <c r="D13">
        <v>55</v>
      </c>
      <c r="E13" t="inlineStr">
        <is>
          <t>%</t>
        </is>
      </c>
    </row>
    <row r="14">
      <c r="A14">
        <v>5</v>
      </c>
      <c r="B14">
        <v>6.82</v>
      </c>
      <c r="C14">
        <v>500</v>
      </c>
      <c r="D14">
        <v>53</v>
      </c>
      <c r="E14" t="inlineStr">
        <is>
          <t>%</t>
        </is>
      </c>
    </row>
    <row r="15">
      <c r="A15">
        <v>5</v>
      </c>
      <c r="B15">
        <v>6.44</v>
      </c>
      <c r="C15">
        <v>500</v>
      </c>
      <c r="D15">
        <v>52</v>
      </c>
      <c r="E15" t="inlineStr">
        <is>
          <t>%</t>
        </is>
      </c>
    </row>
    <row r="16">
      <c r="A16">
        <v>5</v>
      </c>
      <c r="B16">
        <v>6.22</v>
      </c>
      <c r="C16">
        <v>500</v>
      </c>
      <c r="D16">
        <v>51</v>
      </c>
      <c r="E16" t="inlineStr">
        <is>
          <t>%</t>
        </is>
      </c>
    </row>
    <row r="17">
      <c r="A17">
        <v>5</v>
      </c>
      <c r="B17">
        <v>5.75</v>
      </c>
      <c r="C17">
        <v>500</v>
      </c>
      <c r="D17">
        <v>50</v>
      </c>
      <c r="E17" t="inlineStr">
        <is>
          <t>%</t>
        </is>
      </c>
    </row>
    <row r="18">
      <c r="A18">
        <v>5</v>
      </c>
      <c r="B18">
        <v>5.32</v>
      </c>
      <c r="C18">
        <v>500</v>
      </c>
      <c r="D18">
        <v>49</v>
      </c>
      <c r="E18" t="inlineStr">
        <is>
          <t>%</t>
        </is>
      </c>
    </row>
    <row r="19">
      <c r="A19">
        <v>5</v>
      </c>
      <c r="B19">
        <v>4.98</v>
      </c>
      <c r="C19">
        <v>500</v>
      </c>
      <c r="D19">
        <v>48</v>
      </c>
      <c r="E19" t="inlineStr">
        <is>
          <t>%</t>
        </is>
      </c>
    </row>
    <row r="20">
      <c r="A20">
        <v>5</v>
      </c>
      <c r="B20">
        <v>4.6</v>
      </c>
      <c r="C20">
        <v>500</v>
      </c>
      <c r="D20">
        <v>48</v>
      </c>
      <c r="E20" t="inlineStr">
        <is>
          <t>%</t>
        </is>
      </c>
    </row>
    <row r="21">
      <c r="A21">
        <v>5</v>
      </c>
      <c r="B21">
        <v>4.41</v>
      </c>
      <c r="C21">
        <v>500</v>
      </c>
      <c r="D21">
        <v>48</v>
      </c>
      <c r="E21" t="inlineStr">
        <is>
          <t>%</t>
        </is>
      </c>
    </row>
    <row r="22">
      <c r="A22">
        <v>5</v>
      </c>
      <c r="B22">
        <v>3.99</v>
      </c>
      <c r="C22">
        <v>500</v>
      </c>
      <c r="D22">
        <v>47</v>
      </c>
      <c r="E22" t="inlineStr">
        <is>
          <t>%</t>
        </is>
      </c>
    </row>
    <row r="23">
      <c r="A23">
        <v>5</v>
      </c>
      <c r="B23">
        <v>3.55</v>
      </c>
      <c r="C23">
        <v>604</v>
      </c>
      <c r="D23">
        <v>46</v>
      </c>
      <c r="E23" t="inlineStr">
        <is>
          <t>%</t>
        </is>
      </c>
    </row>
    <row r="24">
      <c r="A24">
        <v>5</v>
      </c>
      <c r="B24">
        <v>3.1</v>
      </c>
      <c r="C24">
        <v>604</v>
      </c>
      <c r="D24">
        <v>47</v>
      </c>
      <c r="E24" t="inlineStr">
        <is>
          <t>%</t>
        </is>
      </c>
    </row>
    <row r="25">
      <c r="A25">
        <v>6</v>
      </c>
      <c r="B25">
        <v>3.87</v>
      </c>
      <c r="C25">
        <v>1220</v>
      </c>
      <c r="D25">
        <v>65</v>
      </c>
      <c r="E25" t="inlineStr">
        <is>
          <t>%</t>
        </is>
      </c>
    </row>
    <row r="26">
      <c r="A26">
        <v>6</v>
      </c>
      <c r="B26">
        <v>4.42</v>
      </c>
      <c r="C26">
        <v>1036</v>
      </c>
      <c r="D26">
        <v>65</v>
      </c>
      <c r="E26" t="inlineStr">
        <is>
          <t>%</t>
        </is>
      </c>
    </row>
    <row r="27">
      <c r="A27">
        <v>6</v>
      </c>
      <c r="B27">
        <v>4.7</v>
      </c>
      <c r="C27">
        <v>865</v>
      </c>
      <c r="D27">
        <v>65</v>
      </c>
      <c r="E27" t="inlineStr">
        <is>
          <t>%</t>
        </is>
      </c>
    </row>
  </sheetData>
  <dataValidations count="5">
    <dataValidation type="whole" allowBlank="1" showErrorMessage="1" errorTitle="洞口" error="洞口要是 1–12 的整數（10–12 是加分框左中右）" sqref="A2:A500">
      <formula1>1</formula1>
      <formula2>12</formula2>
    </dataValidation>
    <dataValidation type="decimal" allowBlank="1" showErrorMessage="1" errorTitle="距離" error="距離 0.5–15 m" sqref="B2:B500">
      <formula1>0.5</formula1>
      <formula2>15</formula2>
    </dataValidation>
    <dataValidation type="whole" allowBlank="1" showErrorMessage="1" errorTitle="仰角" error="仰角 500–2500 的整數 µs" sqref="C2:C500">
      <formula1>500</formula1>
      <formula2>2500</formula2>
    </dataValidation>
    <dataValidation type="custom" allowBlank="1" showErrorMessage="1" errorTitle="轉速" error="單位 % 時 0–100；單位 us 時 1000–2000 的整數" sqref="D2:D500">
      <formula1>OR(AND(E2="%",D2&gt;=0,D2&lt;=100),AND(E2="us",D2&gt;=1000,D2&lt;=2000,INT(D2)=D2))</formula1>
    </dataValidation>
    <dataValidation type="list" allowBlank="1" showErrorMessage="1" errorTitle="轉速單位" error="只能選 % 或 us" sqref="E2:E500">
      <formula1>"%,us"</formula1>
    </dataValidation>
  </dataValidations>
  <drawing r:id="rId1"/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 s="1">
        <is>
          <t>射擊表怎麼用</t>
        </is>
      </c>
    </row>
    <row r="3">
      <c r="A3" t="inlineStr">
        <is>
          <t>1. 在「射擊表」工作表改數字、加列、刪列，存檔（保持 .xlsx）。旁邊三張射擊曲線圖（下、中、上排，用中間那一行的洞口 4、5、6）會自動跟著更新。</t>
        </is>
      </c>
    </row>
    <row r="4">
      <c r="A4" t="inlineStr">
        <is>
          <t>2. 在專案資料夾執行：python3 tools/shot_table/apply.py --upload</t>
        </is>
      </c>
    </row>
    <row r="5">
      <c r="A5" t="inlineStr">
        <is>
          <t>   會檢查格式、列出改了哪些值、產生 src/Constants/ShotTableData.h，再燒進 Mega。</t>
        </is>
      </c>
    </row>
    <row r="6">
      <c r="A6" t="inlineStr">
        <is>
          <t>   只想檢查：python3 tools/shot_table/apply.py --check</t>
        </is>
      </c>
    </row>
    <row r="8">
      <c r="A8" t="inlineStr">
        <is>
          <t>格式（嚴格）</t>
        </is>
      </c>
    </row>
    <row r="9">
      <c r="A9" t="inlineStr">
        <is>
          <t>- 第 1 列是欄位名稱。「洞口」「距離(m)」「仰角(us)」「轉速」「轉速單位」五個必須各出現一次、名稱一字不差。</t>
        </is>
      </c>
    </row>
    <row r="10">
      <c r="A10" t="inlineStr">
        <is>
          <t>- 若插入其他欄位，新欄位一定要有名稱；它們不會被讀取。</t>
        </is>
      </c>
    </row>
    <row r="11">
      <c r="A11" t="inlineStr">
        <is>
          <t>- 洞口：Dashboard 的編號 1–9（1 左下、2 左中、3 左上 … 9 右上）；10、11、12 是最上面的加分框左、中、右（Dashboard 按 Q、W、E 選）。</t>
        </is>
      </c>
    </row>
    <row r="12">
      <c r="A12" t="inlineStr">
        <is>
          <t>- 距離：鎖定目標時 Dashboard 顯示的相機距離（不是捲尺），0.5–15 m，最多 2 位小數。</t>
        </is>
      </c>
    </row>
    <row r="13">
      <c r="A13" t="inlineStr">
        <is>
          <t>- 仰角：Dashboard 的仰角脈寬，500–2500 的整數。</t>
        </is>
      </c>
    </row>
    <row r="14">
      <c r="A14" t="inlineStr">
        <is>
          <t>- 轉速單位：用下拉選單選「%」或「us」，每一列可以不同。</t>
        </is>
      </c>
    </row>
    <row r="15">
      <c r="A15" t="inlineStr">
        <is>
          <t>- 轉速：單位 % 時 0–100、最多 1 位小數；單位 us 時填 Dashboard「Falcon PWM」的脈寬整數，必須在正轉那一側（依 TuningConstants 的 Flywheel::INVERTED：false 是 1500–2000、true 是 1000–1500；產生這份 Excel 時是 1500–2000），會自動換算成 %。</t>
        </is>
      </c>
    </row>
    <row r="16">
      <c r="A16" t="inlineStr">
        <is>
          <t>- 列的順序不重要；空白列會略過；同一個洞口的同一個距離不能重複。</t>
        </is>
      </c>
    </row>
    <row r="17">
      <c r="A17" t="inlineStr">
        <is>
          <t>- 資料請放在第 2–500 列；每個洞口最多 60 個點會畫進曲線圖。</t>
        </is>
      </c>
    </row>
    <row r="18">
      <c r="A18" t="inlineStr">
        <is>
          <t>- 任何一格不符合，就不會產生檔案、也不會燒錄，畫面會指出是哪一格。</t>
        </is>
      </c>
    </row>
    <row r="20">
      <c r="A20" t="inlineStr">
        <is>
          <t>沒有資料的洞</t>
        </is>
      </c>
    </row>
    <row r="21">
      <c r="A21" t="inlineStr">
        <is>
          <t>- 會借用同一排中間洞的值：1、7 用 4，2、8 用 5，3、9 用 6。加分框（10–12）不借用：沒有資料就不會對它發射。</t>
        </is>
      </c>
    </row>
    <row r="22">
      <c r="A22" t="inlineStr">
        <is>
          <t>- Mega 在兩個量測點之間用直線內插；比最近的點還近就用最近的點；比最遠的點還遠就用最遠的點。</t>
        </is>
      </c>
    </row>
    <row r="23">
      <c r="A23" t="inlineStr">
        <is>
          <t>- 曲線圖上的轉速曲線是 Excel 的乘冪趨勢線（y = a·x^b，從原點出發），只是用來看資料合不合理、哪個點量歪了；Mega 不是照這條曲線打。</t>
        </is>
      </c>
    </row>
    <row r="25">
      <c r="A25" t="inlineStr">
        <is>
          <t>「圖表資料」是隱藏的工作表，由公式自動整理給曲線圖用，不用動它。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洞口4 距離</t>
        </is>
      </c>
      <c r="B1" t="inlineStr" s="1">
        <is>
          <t>洞口4 仰角</t>
        </is>
      </c>
      <c r="C1" t="inlineStr" s="1">
        <is>
          <t>洞口4 轉速</t>
        </is>
      </c>
      <c r="D1" t="inlineStr" s="1">
        <is>
          <t>洞口5 距離</t>
        </is>
      </c>
      <c r="E1" t="inlineStr" s="1">
        <is>
          <t>洞口5 仰角</t>
        </is>
      </c>
      <c r="F1" t="inlineStr" s="1">
        <is>
          <t>洞口5 轉速</t>
        </is>
      </c>
      <c r="G1" t="inlineStr" s="1">
        <is>
          <t>洞口6 距離</t>
        </is>
      </c>
      <c r="H1" t="inlineStr" s="1">
        <is>
          <t>洞口6 仰角</t>
        </is>
      </c>
      <c r="I1" t="inlineStr" s="1">
        <is>
          <t>洞口6 轉速</t>
        </is>
      </c>
    </row>
    <row r="2">
      <c r="A2">
        <f t="array" ref="A2">IFERROR(SMALL(IF('射擊表'!$A$2:$A$500=4,'射擊表'!$B$2:$B$500),1),NA())</f>
      </c>
      <c r="B2">
        <f t="array" ref="B2">IFERROR(INDEX('射擊表'!$C$2:$C$500,MATCH(1,('射擊表'!$A$2:$A$500=4)*('射擊表'!$B$2:$B$500=A2),0)),NA())</f>
      </c>
      <c r="C2">
        <f t="array" ref="C2">IFERROR(INDEX(IF('射擊表'!$E$2:$E$500="us",ABS('射擊表'!$D$2:$D$500-1500)/5,'射擊表'!$D$2:$D$500),MATCH(1,('射擊表'!$A$2:$A$500=4)*('射擊表'!$B$2:$B$500=A2),0)),NA())</f>
      </c>
      <c r="D2">
        <f t="array" ref="D2">IFERROR(SMALL(IF('射擊表'!$A$2:$A$500=5,'射擊表'!$B$2:$B$500),1),NA())</f>
      </c>
      <c r="E2">
        <f t="array" ref="E2">IFERROR(INDEX('射擊表'!$C$2:$C$500,MATCH(1,('射擊表'!$A$2:$A$500=5)*('射擊表'!$B$2:$B$500=D2),0)),NA())</f>
      </c>
      <c r="F2">
        <f t="array" ref="F2">IFERROR(INDEX(IF('射擊表'!$E$2:$E$500="us",ABS('射擊表'!$D$2:$D$500-1500)/5,'射擊表'!$D$2:$D$500),MATCH(1,('射擊表'!$A$2:$A$500=5)*('射擊表'!$B$2:$B$500=D2),0)),NA())</f>
      </c>
      <c r="G2">
        <f t="array" ref="G2">IFERROR(SMALL(IF('射擊表'!$A$2:$A$500=6,'射擊表'!$B$2:$B$500),1),NA())</f>
      </c>
      <c r="H2">
        <f t="array" ref="H2">IFERROR(INDEX('射擊表'!$C$2:$C$500,MATCH(1,('射擊表'!$A$2:$A$500=6)*('射擊表'!$B$2:$B$500=G2),0)),NA())</f>
      </c>
      <c r="I2">
        <f t="array" ref="I2">IFERROR(INDEX(IF('射擊表'!$E$2:$E$500="us",ABS('射擊表'!$D$2:$D$500-1500)/5,'射擊表'!$D$2:$D$500),MATCH(1,('射擊表'!$A$2:$A$500=6)*('射擊表'!$B$2:$B$500=G2),0)),NA())</f>
      </c>
    </row>
    <row r="3">
      <c r="A3">
        <f t="array" ref="A3">IFERROR(SMALL(IF('射擊表'!$A$2:$A$500=4,'射擊表'!$B$2:$B$500),2),NA())</f>
      </c>
      <c r="B3">
        <f t="array" ref="B3">IFERROR(INDEX('射擊表'!$C$2:$C$500,MATCH(1,('射擊表'!$A$2:$A$500=4)*('射擊表'!$B$2:$B$500=A3),0)),NA())</f>
      </c>
      <c r="C3">
        <f t="array" ref="C3">IFERROR(INDEX(IF('射擊表'!$E$2:$E$500="us",ABS('射擊表'!$D$2:$D$500-1500)/5,'射擊表'!$D$2:$D$500),MATCH(1,('射擊表'!$A$2:$A$500=4)*('射擊表'!$B$2:$B$500=A3),0)),NA())</f>
      </c>
      <c r="D3">
        <f t="array" ref="D3">IFERROR(SMALL(IF('射擊表'!$A$2:$A$500=5,'射擊表'!$B$2:$B$500),2),NA())</f>
      </c>
      <c r="E3">
        <f t="array" ref="E3">IFERROR(INDEX('射擊表'!$C$2:$C$500,MATCH(1,('射擊表'!$A$2:$A$500=5)*('射擊表'!$B$2:$B$500=D3),0)),NA())</f>
      </c>
      <c r="F3">
        <f t="array" ref="F3">IFERROR(INDEX(IF('射擊表'!$E$2:$E$500="us",ABS('射擊表'!$D$2:$D$500-1500)/5,'射擊表'!$D$2:$D$500),MATCH(1,('射擊表'!$A$2:$A$500=5)*('射擊表'!$B$2:$B$500=D3),0)),NA())</f>
      </c>
      <c r="G3">
        <f t="array" ref="G3">IFERROR(SMALL(IF('射擊表'!$A$2:$A$500=6,'射擊表'!$B$2:$B$500),2),NA())</f>
      </c>
      <c r="H3">
        <f t="array" ref="H3">IFERROR(INDEX('射擊表'!$C$2:$C$500,MATCH(1,('射擊表'!$A$2:$A$500=6)*('射擊表'!$B$2:$B$500=G3),0)),NA())</f>
      </c>
      <c r="I3">
        <f t="array" ref="I3">IFERROR(INDEX(IF('射擊表'!$E$2:$E$500="us",ABS('射擊表'!$D$2:$D$500-1500)/5,'射擊表'!$D$2:$D$500),MATCH(1,('射擊表'!$A$2:$A$500=6)*('射擊表'!$B$2:$B$500=G3),0)),NA())</f>
      </c>
    </row>
    <row r="4">
      <c r="A4">
        <f t="array" ref="A4">IFERROR(SMALL(IF('射擊表'!$A$2:$A$500=4,'射擊表'!$B$2:$B$500),3),NA())</f>
      </c>
      <c r="B4">
        <f t="array" ref="B4">IFERROR(INDEX('射擊表'!$C$2:$C$500,MATCH(1,('射擊表'!$A$2:$A$500=4)*('射擊表'!$B$2:$B$500=A4),0)),NA())</f>
      </c>
      <c r="C4">
        <f t="array" ref="C4">IFERROR(INDEX(IF('射擊表'!$E$2:$E$500="us",ABS('射擊表'!$D$2:$D$500-1500)/5,'射擊表'!$D$2:$D$500),MATCH(1,('射擊表'!$A$2:$A$500=4)*('射擊表'!$B$2:$B$500=A4),0)),NA())</f>
      </c>
      <c r="D4">
        <f t="array" ref="D4">IFERROR(SMALL(IF('射擊表'!$A$2:$A$500=5,'射擊表'!$B$2:$B$500),3),NA())</f>
      </c>
      <c r="E4">
        <f t="array" ref="E4">IFERROR(INDEX('射擊表'!$C$2:$C$500,MATCH(1,('射擊表'!$A$2:$A$500=5)*('射擊表'!$B$2:$B$500=D4),0)),NA())</f>
      </c>
      <c r="F4">
        <f t="array" ref="F4">IFERROR(INDEX(IF('射擊表'!$E$2:$E$500="us",ABS('射擊表'!$D$2:$D$500-1500)/5,'射擊表'!$D$2:$D$500),MATCH(1,('射擊表'!$A$2:$A$500=5)*('射擊表'!$B$2:$B$500=D4),0)),NA())</f>
      </c>
      <c r="G4">
        <f t="array" ref="G4">IFERROR(SMALL(IF('射擊表'!$A$2:$A$500=6,'射擊表'!$B$2:$B$500),3),NA())</f>
      </c>
      <c r="H4">
        <f t="array" ref="H4">IFERROR(INDEX('射擊表'!$C$2:$C$500,MATCH(1,('射擊表'!$A$2:$A$500=6)*('射擊表'!$B$2:$B$500=G4),0)),NA())</f>
      </c>
      <c r="I4">
        <f t="array" ref="I4">IFERROR(INDEX(IF('射擊表'!$E$2:$E$500="us",ABS('射擊表'!$D$2:$D$500-1500)/5,'射擊表'!$D$2:$D$500),MATCH(1,('射擊表'!$A$2:$A$500=6)*('射擊表'!$B$2:$B$500=G4),0)),NA())</f>
      </c>
    </row>
    <row r="5">
      <c r="A5">
        <f t="array" ref="A5">IFERROR(SMALL(IF('射擊表'!$A$2:$A$500=4,'射擊表'!$B$2:$B$500),4),NA())</f>
      </c>
      <c r="B5">
        <f t="array" ref="B5">IFERROR(INDEX('射擊表'!$C$2:$C$500,MATCH(1,('射擊表'!$A$2:$A$500=4)*('射擊表'!$B$2:$B$500=A5),0)),NA())</f>
      </c>
      <c r="C5">
        <f t="array" ref="C5">IFERROR(INDEX(IF('射擊表'!$E$2:$E$500="us",ABS('射擊表'!$D$2:$D$500-1500)/5,'射擊表'!$D$2:$D$500),MATCH(1,('射擊表'!$A$2:$A$500=4)*('射擊表'!$B$2:$B$500=A5),0)),NA())</f>
      </c>
      <c r="D5">
        <f t="array" ref="D5">IFERROR(SMALL(IF('射擊表'!$A$2:$A$500=5,'射擊表'!$B$2:$B$500),4),NA())</f>
      </c>
      <c r="E5">
        <f t="array" ref="E5">IFERROR(INDEX('射擊表'!$C$2:$C$500,MATCH(1,('射擊表'!$A$2:$A$500=5)*('射擊表'!$B$2:$B$500=D5),0)),NA())</f>
      </c>
      <c r="F5">
        <f t="array" ref="F5">IFERROR(INDEX(IF('射擊表'!$E$2:$E$500="us",ABS('射擊表'!$D$2:$D$500-1500)/5,'射擊表'!$D$2:$D$500),MATCH(1,('射擊表'!$A$2:$A$500=5)*('射擊表'!$B$2:$B$500=D5),0)),NA())</f>
      </c>
      <c r="G5">
        <f t="array" ref="G5">IFERROR(SMALL(IF('射擊表'!$A$2:$A$500=6,'射擊表'!$B$2:$B$500),4),NA())</f>
      </c>
      <c r="H5">
        <f t="array" ref="H5">IFERROR(INDEX('射擊表'!$C$2:$C$500,MATCH(1,('射擊表'!$A$2:$A$500=6)*('射擊表'!$B$2:$B$500=G5),0)),NA())</f>
      </c>
      <c r="I5">
        <f t="array" ref="I5">IFERROR(INDEX(IF('射擊表'!$E$2:$E$500="us",ABS('射擊表'!$D$2:$D$500-1500)/5,'射擊表'!$D$2:$D$500),MATCH(1,('射擊表'!$A$2:$A$500=6)*('射擊表'!$B$2:$B$500=G5),0)),NA())</f>
      </c>
    </row>
    <row r="6">
      <c r="A6">
        <f t="array" ref="A6">IFERROR(SMALL(IF('射擊表'!$A$2:$A$500=4,'射擊表'!$B$2:$B$500),5),NA())</f>
      </c>
      <c r="B6">
        <f t="array" ref="B6">IFERROR(INDEX('射擊表'!$C$2:$C$500,MATCH(1,('射擊表'!$A$2:$A$500=4)*('射擊表'!$B$2:$B$500=A6),0)),NA())</f>
      </c>
      <c r="C6">
        <f t="array" ref="C6">IFERROR(INDEX(IF('射擊表'!$E$2:$E$500="us",ABS('射擊表'!$D$2:$D$500-1500)/5,'射擊表'!$D$2:$D$500),MATCH(1,('射擊表'!$A$2:$A$500=4)*('射擊表'!$B$2:$B$500=A6),0)),NA())</f>
      </c>
      <c r="D6">
        <f t="array" ref="D6">IFERROR(SMALL(IF('射擊表'!$A$2:$A$500=5,'射擊表'!$B$2:$B$500),5),NA())</f>
      </c>
      <c r="E6">
        <f t="array" ref="E6">IFERROR(INDEX('射擊表'!$C$2:$C$500,MATCH(1,('射擊表'!$A$2:$A$500=5)*('射擊表'!$B$2:$B$500=D6),0)),NA())</f>
      </c>
      <c r="F6">
        <f t="array" ref="F6">IFERROR(INDEX(IF('射擊表'!$E$2:$E$500="us",ABS('射擊表'!$D$2:$D$500-1500)/5,'射擊表'!$D$2:$D$500),MATCH(1,('射擊表'!$A$2:$A$500=5)*('射擊表'!$B$2:$B$500=D6),0)),NA())</f>
      </c>
      <c r="G6">
        <f t="array" ref="G6">IFERROR(SMALL(IF('射擊表'!$A$2:$A$500=6,'射擊表'!$B$2:$B$500),5),NA())</f>
      </c>
      <c r="H6">
        <f t="array" ref="H6">IFERROR(INDEX('射擊表'!$C$2:$C$500,MATCH(1,('射擊表'!$A$2:$A$500=6)*('射擊表'!$B$2:$B$500=G6),0)),NA())</f>
      </c>
      <c r="I6">
        <f t="array" ref="I6">IFERROR(INDEX(IF('射擊表'!$E$2:$E$500="us",ABS('射擊表'!$D$2:$D$500-1500)/5,'射擊表'!$D$2:$D$500),MATCH(1,('射擊表'!$A$2:$A$500=6)*('射擊表'!$B$2:$B$500=G6),0)),NA())</f>
      </c>
    </row>
    <row r="7">
      <c r="A7">
        <f t="array" ref="A7">IFERROR(SMALL(IF('射擊表'!$A$2:$A$500=4,'射擊表'!$B$2:$B$500),6),NA())</f>
      </c>
      <c r="B7">
        <f t="array" ref="B7">IFERROR(INDEX('射擊表'!$C$2:$C$500,MATCH(1,('射擊表'!$A$2:$A$500=4)*('射擊表'!$B$2:$B$500=A7),0)),NA())</f>
      </c>
      <c r="C7">
        <f t="array" ref="C7">IFERROR(INDEX(IF('射擊表'!$E$2:$E$500="us",ABS('射擊表'!$D$2:$D$500-1500)/5,'射擊表'!$D$2:$D$500),MATCH(1,('射擊表'!$A$2:$A$500=4)*('射擊表'!$B$2:$B$500=A7),0)),NA())</f>
      </c>
      <c r="D7">
        <f t="array" ref="D7">IFERROR(SMALL(IF('射擊表'!$A$2:$A$500=5,'射擊表'!$B$2:$B$500),6),NA())</f>
      </c>
      <c r="E7">
        <f t="array" ref="E7">IFERROR(INDEX('射擊表'!$C$2:$C$500,MATCH(1,('射擊表'!$A$2:$A$500=5)*('射擊表'!$B$2:$B$500=D7),0)),NA())</f>
      </c>
      <c r="F7">
        <f t="array" ref="F7">IFERROR(INDEX(IF('射擊表'!$E$2:$E$500="us",ABS('射擊表'!$D$2:$D$500-1500)/5,'射擊表'!$D$2:$D$500),MATCH(1,('射擊表'!$A$2:$A$500=5)*('射擊表'!$B$2:$B$500=D7),0)),NA())</f>
      </c>
      <c r="G7">
        <f t="array" ref="G7">IFERROR(SMALL(IF('射擊表'!$A$2:$A$500=6,'射擊表'!$B$2:$B$500),6),NA())</f>
      </c>
      <c r="H7">
        <f t="array" ref="H7">IFERROR(INDEX('射擊表'!$C$2:$C$500,MATCH(1,('射擊表'!$A$2:$A$500=6)*('射擊表'!$B$2:$B$500=G7),0)),NA())</f>
      </c>
      <c r="I7">
        <f t="array" ref="I7">IFERROR(INDEX(IF('射擊表'!$E$2:$E$500="us",ABS('射擊表'!$D$2:$D$500-1500)/5,'射擊表'!$D$2:$D$500),MATCH(1,('射擊表'!$A$2:$A$500=6)*('射擊表'!$B$2:$B$500=G7),0)),NA())</f>
      </c>
    </row>
    <row r="8">
      <c r="A8">
        <f t="array" ref="A8">IFERROR(SMALL(IF('射擊表'!$A$2:$A$500=4,'射擊表'!$B$2:$B$500),7),NA())</f>
      </c>
      <c r="B8">
        <f t="array" ref="B8">IFERROR(INDEX('射擊表'!$C$2:$C$500,MATCH(1,('射擊表'!$A$2:$A$500=4)*('射擊表'!$B$2:$B$500=A8),0)),NA())</f>
      </c>
      <c r="C8">
        <f t="array" ref="C8">IFERROR(INDEX(IF('射擊表'!$E$2:$E$500="us",ABS('射擊表'!$D$2:$D$500-1500)/5,'射擊表'!$D$2:$D$500),MATCH(1,('射擊表'!$A$2:$A$500=4)*('射擊表'!$B$2:$B$500=A8),0)),NA())</f>
      </c>
      <c r="D8">
        <f t="array" ref="D8">IFERROR(SMALL(IF('射擊表'!$A$2:$A$500=5,'射擊表'!$B$2:$B$500),7),NA())</f>
      </c>
      <c r="E8">
        <f t="array" ref="E8">IFERROR(INDEX('射擊表'!$C$2:$C$500,MATCH(1,('射擊表'!$A$2:$A$500=5)*('射擊表'!$B$2:$B$500=D8),0)),NA())</f>
      </c>
      <c r="F8">
        <f t="array" ref="F8">IFERROR(INDEX(IF('射擊表'!$E$2:$E$500="us",ABS('射擊表'!$D$2:$D$500-1500)/5,'射擊表'!$D$2:$D$500),MATCH(1,('射擊表'!$A$2:$A$500=5)*('射擊表'!$B$2:$B$500=D8),0)),NA())</f>
      </c>
      <c r="G8">
        <f t="array" ref="G8">IFERROR(SMALL(IF('射擊表'!$A$2:$A$500=6,'射擊表'!$B$2:$B$500),7),NA())</f>
      </c>
      <c r="H8">
        <f t="array" ref="H8">IFERROR(INDEX('射擊表'!$C$2:$C$500,MATCH(1,('射擊表'!$A$2:$A$500=6)*('射擊表'!$B$2:$B$500=G8),0)),NA())</f>
      </c>
      <c r="I8">
        <f t="array" ref="I8">IFERROR(INDEX(IF('射擊表'!$E$2:$E$500="us",ABS('射擊表'!$D$2:$D$500-1500)/5,'射擊表'!$D$2:$D$500),MATCH(1,('射擊表'!$A$2:$A$500=6)*('射擊表'!$B$2:$B$500=G8),0)),NA())</f>
      </c>
    </row>
    <row r="9">
      <c r="A9">
        <f t="array" ref="A9">IFERROR(SMALL(IF('射擊表'!$A$2:$A$500=4,'射擊表'!$B$2:$B$500),8),NA())</f>
      </c>
      <c r="B9">
        <f t="array" ref="B9">IFERROR(INDEX('射擊表'!$C$2:$C$500,MATCH(1,('射擊表'!$A$2:$A$500=4)*('射擊表'!$B$2:$B$500=A9),0)),NA())</f>
      </c>
      <c r="C9">
        <f t="array" ref="C9">IFERROR(INDEX(IF('射擊表'!$E$2:$E$500="us",ABS('射擊表'!$D$2:$D$500-1500)/5,'射擊表'!$D$2:$D$500),MATCH(1,('射擊表'!$A$2:$A$500=4)*('射擊表'!$B$2:$B$500=A9),0)),NA())</f>
      </c>
      <c r="D9">
        <f t="array" ref="D9">IFERROR(SMALL(IF('射擊表'!$A$2:$A$500=5,'射擊表'!$B$2:$B$500),8),NA())</f>
      </c>
      <c r="E9">
        <f t="array" ref="E9">IFERROR(INDEX('射擊表'!$C$2:$C$500,MATCH(1,('射擊表'!$A$2:$A$500=5)*('射擊表'!$B$2:$B$500=D9),0)),NA())</f>
      </c>
      <c r="F9">
        <f t="array" ref="F9">IFERROR(INDEX(IF('射擊表'!$E$2:$E$500="us",ABS('射擊表'!$D$2:$D$500-1500)/5,'射擊表'!$D$2:$D$500),MATCH(1,('射擊表'!$A$2:$A$500=5)*('射擊表'!$B$2:$B$500=D9),0)),NA())</f>
      </c>
      <c r="G9">
        <f t="array" ref="G9">IFERROR(SMALL(IF('射擊表'!$A$2:$A$500=6,'射擊表'!$B$2:$B$500),8),NA())</f>
      </c>
      <c r="H9">
        <f t="array" ref="H9">IFERROR(INDEX('射擊表'!$C$2:$C$500,MATCH(1,('射擊表'!$A$2:$A$500=6)*('射擊表'!$B$2:$B$500=G9),0)),NA())</f>
      </c>
      <c r="I9">
        <f t="array" ref="I9">IFERROR(INDEX(IF('射擊表'!$E$2:$E$500="us",ABS('射擊表'!$D$2:$D$500-1500)/5,'射擊表'!$D$2:$D$500),MATCH(1,('射擊表'!$A$2:$A$500=6)*('射擊表'!$B$2:$B$500=G9),0)),NA())</f>
      </c>
    </row>
    <row r="10">
      <c r="A10">
        <f t="array" ref="A10">IFERROR(SMALL(IF('射擊表'!$A$2:$A$500=4,'射擊表'!$B$2:$B$500),9),NA())</f>
      </c>
      <c r="B10">
        <f t="array" ref="B10">IFERROR(INDEX('射擊表'!$C$2:$C$500,MATCH(1,('射擊表'!$A$2:$A$500=4)*('射擊表'!$B$2:$B$500=A10),0)),NA())</f>
      </c>
      <c r="C10">
        <f t="array" ref="C10">IFERROR(INDEX(IF('射擊表'!$E$2:$E$500="us",ABS('射擊表'!$D$2:$D$500-1500)/5,'射擊表'!$D$2:$D$500),MATCH(1,('射擊表'!$A$2:$A$500=4)*('射擊表'!$B$2:$B$500=A10),0)),NA())</f>
      </c>
      <c r="D10">
        <f t="array" ref="D10">IFERROR(SMALL(IF('射擊表'!$A$2:$A$500=5,'射擊表'!$B$2:$B$500),9),NA())</f>
      </c>
      <c r="E10">
        <f t="array" ref="E10">IFERROR(INDEX('射擊表'!$C$2:$C$500,MATCH(1,('射擊表'!$A$2:$A$500=5)*('射擊表'!$B$2:$B$500=D10),0)),NA())</f>
      </c>
      <c r="F10">
        <f t="array" ref="F10">IFERROR(INDEX(IF('射擊表'!$E$2:$E$500="us",ABS('射擊表'!$D$2:$D$500-1500)/5,'射擊表'!$D$2:$D$500),MATCH(1,('射擊表'!$A$2:$A$500=5)*('射擊表'!$B$2:$B$500=D10),0)),NA())</f>
      </c>
      <c r="G10">
        <f t="array" ref="G10">IFERROR(SMALL(IF('射擊表'!$A$2:$A$500=6,'射擊表'!$B$2:$B$500),9),NA())</f>
      </c>
      <c r="H10">
        <f t="array" ref="H10">IFERROR(INDEX('射擊表'!$C$2:$C$500,MATCH(1,('射擊表'!$A$2:$A$500=6)*('射擊表'!$B$2:$B$500=G10),0)),NA())</f>
      </c>
      <c r="I10">
        <f t="array" ref="I10">IFERROR(INDEX(IF('射擊表'!$E$2:$E$500="us",ABS('射擊表'!$D$2:$D$500-1500)/5,'射擊表'!$D$2:$D$500),MATCH(1,('射擊表'!$A$2:$A$500=6)*('射擊表'!$B$2:$B$500=G10),0)),NA())</f>
      </c>
    </row>
    <row r="11">
      <c r="A11">
        <f t="array" ref="A11">IFERROR(SMALL(IF('射擊表'!$A$2:$A$500=4,'射擊表'!$B$2:$B$500),10),NA())</f>
      </c>
      <c r="B11">
        <f t="array" ref="B11">IFERROR(INDEX('射擊表'!$C$2:$C$500,MATCH(1,('射擊表'!$A$2:$A$500=4)*('射擊表'!$B$2:$B$500=A11),0)),NA())</f>
      </c>
      <c r="C11">
        <f t="array" ref="C11">IFERROR(INDEX(IF('射擊表'!$E$2:$E$500="us",ABS('射擊表'!$D$2:$D$500-1500)/5,'射擊表'!$D$2:$D$500),MATCH(1,('射擊表'!$A$2:$A$500=4)*('射擊表'!$B$2:$B$500=A11),0)),NA())</f>
      </c>
      <c r="D11">
        <f t="array" ref="D11">IFERROR(SMALL(IF('射擊表'!$A$2:$A$500=5,'射擊表'!$B$2:$B$500),10),NA())</f>
      </c>
      <c r="E11">
        <f t="array" ref="E11">IFERROR(INDEX('射擊表'!$C$2:$C$500,MATCH(1,('射擊表'!$A$2:$A$500=5)*('射擊表'!$B$2:$B$500=D11),0)),NA())</f>
      </c>
      <c r="F11">
        <f t="array" ref="F11">IFERROR(INDEX(IF('射擊表'!$E$2:$E$500="us",ABS('射擊表'!$D$2:$D$500-1500)/5,'射擊表'!$D$2:$D$500),MATCH(1,('射擊表'!$A$2:$A$500=5)*('射擊表'!$B$2:$B$500=D11),0)),NA())</f>
      </c>
      <c r="G11">
        <f t="array" ref="G11">IFERROR(SMALL(IF('射擊表'!$A$2:$A$500=6,'射擊表'!$B$2:$B$500),10),NA())</f>
      </c>
      <c r="H11">
        <f t="array" ref="H11">IFERROR(INDEX('射擊表'!$C$2:$C$500,MATCH(1,('射擊表'!$A$2:$A$500=6)*('射擊表'!$B$2:$B$500=G11),0)),NA())</f>
      </c>
      <c r="I11">
        <f t="array" ref="I11">IFERROR(INDEX(IF('射擊表'!$E$2:$E$500="us",ABS('射擊表'!$D$2:$D$500-1500)/5,'射擊表'!$D$2:$D$500),MATCH(1,('射擊表'!$A$2:$A$500=6)*('射擊表'!$B$2:$B$500=G11),0)),NA())</f>
      </c>
    </row>
    <row r="12">
      <c r="A12">
        <f t="array" ref="A12">IFERROR(SMALL(IF('射擊表'!$A$2:$A$500=4,'射擊表'!$B$2:$B$500),11),NA())</f>
      </c>
      <c r="B12">
        <f t="array" ref="B12">IFERROR(INDEX('射擊表'!$C$2:$C$500,MATCH(1,('射擊表'!$A$2:$A$500=4)*('射擊表'!$B$2:$B$500=A12),0)),NA())</f>
      </c>
      <c r="C12">
        <f t="array" ref="C12">IFERROR(INDEX(IF('射擊表'!$E$2:$E$500="us",ABS('射擊表'!$D$2:$D$500-1500)/5,'射擊表'!$D$2:$D$500),MATCH(1,('射擊表'!$A$2:$A$500=4)*('射擊表'!$B$2:$B$500=A12),0)),NA())</f>
      </c>
      <c r="D12">
        <f t="array" ref="D12">IFERROR(SMALL(IF('射擊表'!$A$2:$A$500=5,'射擊表'!$B$2:$B$500),11),NA())</f>
      </c>
      <c r="E12">
        <f t="array" ref="E12">IFERROR(INDEX('射擊表'!$C$2:$C$500,MATCH(1,('射擊表'!$A$2:$A$500=5)*('射擊表'!$B$2:$B$500=D12),0)),NA())</f>
      </c>
      <c r="F12">
        <f t="array" ref="F12">IFERROR(INDEX(IF('射擊表'!$E$2:$E$500="us",ABS('射擊表'!$D$2:$D$500-1500)/5,'射擊表'!$D$2:$D$500),MATCH(1,('射擊表'!$A$2:$A$500=5)*('射擊表'!$B$2:$B$500=D12),0)),NA())</f>
      </c>
      <c r="G12">
        <f t="array" ref="G12">IFERROR(SMALL(IF('射擊表'!$A$2:$A$500=6,'射擊表'!$B$2:$B$500),11),NA())</f>
      </c>
      <c r="H12">
        <f t="array" ref="H12">IFERROR(INDEX('射擊表'!$C$2:$C$500,MATCH(1,('射擊表'!$A$2:$A$500=6)*('射擊表'!$B$2:$B$500=G12),0)),NA())</f>
      </c>
      <c r="I12">
        <f t="array" ref="I12">IFERROR(INDEX(IF('射擊表'!$E$2:$E$500="us",ABS('射擊表'!$D$2:$D$500-1500)/5,'射擊表'!$D$2:$D$500),MATCH(1,('射擊表'!$A$2:$A$500=6)*('射擊表'!$B$2:$B$500=G12),0)),NA())</f>
      </c>
    </row>
    <row r="13">
      <c r="A13">
        <f t="array" ref="A13">IFERROR(SMALL(IF('射擊表'!$A$2:$A$500=4,'射擊表'!$B$2:$B$500),12),NA())</f>
      </c>
      <c r="B13">
        <f t="array" ref="B13">IFERROR(INDEX('射擊表'!$C$2:$C$500,MATCH(1,('射擊表'!$A$2:$A$500=4)*('射擊表'!$B$2:$B$500=A13),0)),NA())</f>
      </c>
      <c r="C13">
        <f t="array" ref="C13">IFERROR(INDEX(IF('射擊表'!$E$2:$E$500="us",ABS('射擊表'!$D$2:$D$500-1500)/5,'射擊表'!$D$2:$D$500),MATCH(1,('射擊表'!$A$2:$A$500=4)*('射擊表'!$B$2:$B$500=A13),0)),NA())</f>
      </c>
      <c r="D13">
        <f t="array" ref="D13">IFERROR(SMALL(IF('射擊表'!$A$2:$A$500=5,'射擊表'!$B$2:$B$500),12),NA())</f>
      </c>
      <c r="E13">
        <f t="array" ref="E13">IFERROR(INDEX('射擊表'!$C$2:$C$500,MATCH(1,('射擊表'!$A$2:$A$500=5)*('射擊表'!$B$2:$B$500=D13),0)),NA())</f>
      </c>
      <c r="F13">
        <f t="array" ref="F13">IFERROR(INDEX(IF('射擊表'!$E$2:$E$500="us",ABS('射擊表'!$D$2:$D$500-1500)/5,'射擊表'!$D$2:$D$500),MATCH(1,('射擊表'!$A$2:$A$500=5)*('射擊表'!$B$2:$B$500=D13),0)),NA())</f>
      </c>
      <c r="G13">
        <f t="array" ref="G13">IFERROR(SMALL(IF('射擊表'!$A$2:$A$500=6,'射擊表'!$B$2:$B$500),12),NA())</f>
      </c>
      <c r="H13">
        <f t="array" ref="H13">IFERROR(INDEX('射擊表'!$C$2:$C$500,MATCH(1,('射擊表'!$A$2:$A$500=6)*('射擊表'!$B$2:$B$500=G13),0)),NA())</f>
      </c>
      <c r="I13">
        <f t="array" ref="I13">IFERROR(INDEX(IF('射擊表'!$E$2:$E$500="us",ABS('射擊表'!$D$2:$D$500-1500)/5,'射擊表'!$D$2:$D$500),MATCH(1,('射擊表'!$A$2:$A$500=6)*('射擊表'!$B$2:$B$500=G13),0)),NA())</f>
      </c>
    </row>
    <row r="14">
      <c r="A14">
        <f t="array" ref="A14">IFERROR(SMALL(IF('射擊表'!$A$2:$A$500=4,'射擊表'!$B$2:$B$500),13),NA())</f>
      </c>
      <c r="B14">
        <f t="array" ref="B14">IFERROR(INDEX('射擊表'!$C$2:$C$500,MATCH(1,('射擊表'!$A$2:$A$500=4)*('射擊表'!$B$2:$B$500=A14),0)),NA())</f>
      </c>
      <c r="C14">
        <f t="array" ref="C14">IFERROR(INDEX(IF('射擊表'!$E$2:$E$500="us",ABS('射擊表'!$D$2:$D$500-1500)/5,'射擊表'!$D$2:$D$500),MATCH(1,('射擊表'!$A$2:$A$500=4)*('射擊表'!$B$2:$B$500=A14),0)),NA())</f>
      </c>
      <c r="D14">
        <f t="array" ref="D14">IFERROR(SMALL(IF('射擊表'!$A$2:$A$500=5,'射擊表'!$B$2:$B$500),13),NA())</f>
      </c>
      <c r="E14">
        <f t="array" ref="E14">IFERROR(INDEX('射擊表'!$C$2:$C$500,MATCH(1,('射擊表'!$A$2:$A$500=5)*('射擊表'!$B$2:$B$500=D14),0)),NA())</f>
      </c>
      <c r="F14">
        <f t="array" ref="F14">IFERROR(INDEX(IF('射擊表'!$E$2:$E$500="us",ABS('射擊表'!$D$2:$D$500-1500)/5,'射擊表'!$D$2:$D$500),MATCH(1,('射擊表'!$A$2:$A$500=5)*('射擊表'!$B$2:$B$500=D14),0)),NA())</f>
      </c>
      <c r="G14">
        <f t="array" ref="G14">IFERROR(SMALL(IF('射擊表'!$A$2:$A$500=6,'射擊表'!$B$2:$B$500),13),NA())</f>
      </c>
      <c r="H14">
        <f t="array" ref="H14">IFERROR(INDEX('射擊表'!$C$2:$C$500,MATCH(1,('射擊表'!$A$2:$A$500=6)*('射擊表'!$B$2:$B$500=G14),0)),NA())</f>
      </c>
      <c r="I14">
        <f t="array" ref="I14">IFERROR(INDEX(IF('射擊表'!$E$2:$E$500="us",ABS('射擊表'!$D$2:$D$500-1500)/5,'射擊表'!$D$2:$D$500),MATCH(1,('射擊表'!$A$2:$A$500=6)*('射擊表'!$B$2:$B$500=G14),0)),NA())</f>
      </c>
    </row>
    <row r="15">
      <c r="A15">
        <f t="array" ref="A15">IFERROR(SMALL(IF('射擊表'!$A$2:$A$500=4,'射擊表'!$B$2:$B$500),14),NA())</f>
      </c>
      <c r="B15">
        <f t="array" ref="B15">IFERROR(INDEX('射擊表'!$C$2:$C$500,MATCH(1,('射擊表'!$A$2:$A$500=4)*('射擊表'!$B$2:$B$500=A15),0)),NA())</f>
      </c>
      <c r="C15">
        <f t="array" ref="C15">IFERROR(INDEX(IF('射擊表'!$E$2:$E$500="us",ABS('射擊表'!$D$2:$D$500-1500)/5,'射擊表'!$D$2:$D$500),MATCH(1,('射擊表'!$A$2:$A$500=4)*('射擊表'!$B$2:$B$500=A15),0)),NA())</f>
      </c>
      <c r="D15">
        <f t="array" ref="D15">IFERROR(SMALL(IF('射擊表'!$A$2:$A$500=5,'射擊表'!$B$2:$B$500),14),NA())</f>
      </c>
      <c r="E15">
        <f t="array" ref="E15">IFERROR(INDEX('射擊表'!$C$2:$C$500,MATCH(1,('射擊表'!$A$2:$A$500=5)*('射擊表'!$B$2:$B$500=D15),0)),NA())</f>
      </c>
      <c r="F15">
        <f t="array" ref="F15">IFERROR(INDEX(IF('射擊表'!$E$2:$E$500="us",ABS('射擊表'!$D$2:$D$500-1500)/5,'射擊表'!$D$2:$D$500),MATCH(1,('射擊表'!$A$2:$A$500=5)*('射擊表'!$B$2:$B$500=D15),0)),NA())</f>
      </c>
      <c r="G15">
        <f t="array" ref="G15">IFERROR(SMALL(IF('射擊表'!$A$2:$A$500=6,'射擊表'!$B$2:$B$500),14),NA())</f>
      </c>
      <c r="H15">
        <f t="array" ref="H15">IFERROR(INDEX('射擊表'!$C$2:$C$500,MATCH(1,('射擊表'!$A$2:$A$500=6)*('射擊表'!$B$2:$B$500=G15),0)),NA())</f>
      </c>
      <c r="I15">
        <f t="array" ref="I15">IFERROR(INDEX(IF('射擊表'!$E$2:$E$500="us",ABS('射擊表'!$D$2:$D$500-1500)/5,'射擊表'!$D$2:$D$500),MATCH(1,('射擊表'!$A$2:$A$500=6)*('射擊表'!$B$2:$B$500=G15),0)),NA())</f>
      </c>
    </row>
    <row r="16">
      <c r="A16">
        <f t="array" ref="A16">IFERROR(SMALL(IF('射擊表'!$A$2:$A$500=4,'射擊表'!$B$2:$B$500),15),NA())</f>
      </c>
      <c r="B16">
        <f t="array" ref="B16">IFERROR(INDEX('射擊表'!$C$2:$C$500,MATCH(1,('射擊表'!$A$2:$A$500=4)*('射擊表'!$B$2:$B$500=A16),0)),NA())</f>
      </c>
      <c r="C16">
        <f t="array" ref="C16">IFERROR(INDEX(IF('射擊表'!$E$2:$E$500="us",ABS('射擊表'!$D$2:$D$500-1500)/5,'射擊表'!$D$2:$D$500),MATCH(1,('射擊表'!$A$2:$A$500=4)*('射擊表'!$B$2:$B$500=A16),0)),NA())</f>
      </c>
      <c r="D16">
        <f t="array" ref="D16">IFERROR(SMALL(IF('射擊表'!$A$2:$A$500=5,'射擊表'!$B$2:$B$500),15),NA())</f>
      </c>
      <c r="E16">
        <f t="array" ref="E16">IFERROR(INDEX('射擊表'!$C$2:$C$500,MATCH(1,('射擊表'!$A$2:$A$500=5)*('射擊表'!$B$2:$B$500=D16),0)),NA())</f>
      </c>
      <c r="F16">
        <f t="array" ref="F16">IFERROR(INDEX(IF('射擊表'!$E$2:$E$500="us",ABS('射擊表'!$D$2:$D$500-1500)/5,'射擊表'!$D$2:$D$500),MATCH(1,('射擊表'!$A$2:$A$500=5)*('射擊表'!$B$2:$B$500=D16),0)),NA())</f>
      </c>
      <c r="G16">
        <f t="array" ref="G16">IFERROR(SMALL(IF('射擊表'!$A$2:$A$500=6,'射擊表'!$B$2:$B$500),15),NA())</f>
      </c>
      <c r="H16">
        <f t="array" ref="H16">IFERROR(INDEX('射擊表'!$C$2:$C$500,MATCH(1,('射擊表'!$A$2:$A$500=6)*('射擊表'!$B$2:$B$500=G16),0)),NA())</f>
      </c>
      <c r="I16">
        <f t="array" ref="I16">IFERROR(INDEX(IF('射擊表'!$E$2:$E$500="us",ABS('射擊表'!$D$2:$D$500-1500)/5,'射擊表'!$D$2:$D$500),MATCH(1,('射擊表'!$A$2:$A$500=6)*('射擊表'!$B$2:$B$500=G16),0)),NA())</f>
      </c>
    </row>
    <row r="17">
      <c r="A17">
        <f t="array" ref="A17">IFERROR(SMALL(IF('射擊表'!$A$2:$A$500=4,'射擊表'!$B$2:$B$500),16),NA())</f>
      </c>
      <c r="B17">
        <f t="array" ref="B17">IFERROR(INDEX('射擊表'!$C$2:$C$500,MATCH(1,('射擊表'!$A$2:$A$500=4)*('射擊表'!$B$2:$B$500=A17),0)),NA())</f>
      </c>
      <c r="C17">
        <f t="array" ref="C17">IFERROR(INDEX(IF('射擊表'!$E$2:$E$500="us",ABS('射擊表'!$D$2:$D$500-1500)/5,'射擊表'!$D$2:$D$500),MATCH(1,('射擊表'!$A$2:$A$500=4)*('射擊表'!$B$2:$B$500=A17),0)),NA())</f>
      </c>
      <c r="D17">
        <f t="array" ref="D17">IFERROR(SMALL(IF('射擊表'!$A$2:$A$500=5,'射擊表'!$B$2:$B$500),16),NA())</f>
      </c>
      <c r="E17">
        <f t="array" ref="E17">IFERROR(INDEX('射擊表'!$C$2:$C$500,MATCH(1,('射擊表'!$A$2:$A$500=5)*('射擊表'!$B$2:$B$500=D17),0)),NA())</f>
      </c>
      <c r="F17">
        <f t="array" ref="F17">IFERROR(INDEX(IF('射擊表'!$E$2:$E$500="us",ABS('射擊表'!$D$2:$D$500-1500)/5,'射擊表'!$D$2:$D$500),MATCH(1,('射擊表'!$A$2:$A$500=5)*('射擊表'!$B$2:$B$500=D17),0)),NA())</f>
      </c>
      <c r="G17">
        <f t="array" ref="G17">IFERROR(SMALL(IF('射擊表'!$A$2:$A$500=6,'射擊表'!$B$2:$B$500),16),NA())</f>
      </c>
      <c r="H17">
        <f t="array" ref="H17">IFERROR(INDEX('射擊表'!$C$2:$C$500,MATCH(1,('射擊表'!$A$2:$A$500=6)*('射擊表'!$B$2:$B$500=G17),0)),NA())</f>
      </c>
      <c r="I17">
        <f t="array" ref="I17">IFERROR(INDEX(IF('射擊表'!$E$2:$E$500="us",ABS('射擊表'!$D$2:$D$500-1500)/5,'射擊表'!$D$2:$D$500),MATCH(1,('射擊表'!$A$2:$A$500=6)*('射擊表'!$B$2:$B$500=G17),0)),NA())</f>
      </c>
    </row>
    <row r="18">
      <c r="A18">
        <f t="array" ref="A18">IFERROR(SMALL(IF('射擊表'!$A$2:$A$500=4,'射擊表'!$B$2:$B$500),17),NA())</f>
      </c>
      <c r="B18">
        <f t="array" ref="B18">IFERROR(INDEX('射擊表'!$C$2:$C$500,MATCH(1,('射擊表'!$A$2:$A$500=4)*('射擊表'!$B$2:$B$500=A18),0)),NA())</f>
      </c>
      <c r="C18">
        <f t="array" ref="C18">IFERROR(INDEX(IF('射擊表'!$E$2:$E$500="us",ABS('射擊表'!$D$2:$D$500-1500)/5,'射擊表'!$D$2:$D$500),MATCH(1,('射擊表'!$A$2:$A$500=4)*('射擊表'!$B$2:$B$500=A18),0)),NA())</f>
      </c>
      <c r="D18">
        <f t="array" ref="D18">IFERROR(SMALL(IF('射擊表'!$A$2:$A$500=5,'射擊表'!$B$2:$B$500),17),NA())</f>
      </c>
      <c r="E18">
        <f t="array" ref="E18">IFERROR(INDEX('射擊表'!$C$2:$C$500,MATCH(1,('射擊表'!$A$2:$A$500=5)*('射擊表'!$B$2:$B$500=D18),0)),NA())</f>
      </c>
      <c r="F18">
        <f t="array" ref="F18">IFERROR(INDEX(IF('射擊表'!$E$2:$E$500="us",ABS('射擊表'!$D$2:$D$500-1500)/5,'射擊表'!$D$2:$D$500),MATCH(1,('射擊表'!$A$2:$A$500=5)*('射擊表'!$B$2:$B$500=D18),0)),NA())</f>
      </c>
      <c r="G18">
        <f t="array" ref="G18">IFERROR(SMALL(IF('射擊表'!$A$2:$A$500=6,'射擊表'!$B$2:$B$500),17),NA())</f>
      </c>
      <c r="H18">
        <f t="array" ref="H18">IFERROR(INDEX('射擊表'!$C$2:$C$500,MATCH(1,('射擊表'!$A$2:$A$500=6)*('射擊表'!$B$2:$B$500=G18),0)),NA())</f>
      </c>
      <c r="I18">
        <f t="array" ref="I18">IFERROR(INDEX(IF('射擊表'!$E$2:$E$500="us",ABS('射擊表'!$D$2:$D$500-1500)/5,'射擊表'!$D$2:$D$500),MATCH(1,('射擊表'!$A$2:$A$500=6)*('射擊表'!$B$2:$B$500=G18),0)),NA())</f>
      </c>
    </row>
    <row r="19">
      <c r="A19">
        <f t="array" ref="A19">IFERROR(SMALL(IF('射擊表'!$A$2:$A$500=4,'射擊表'!$B$2:$B$500),18),NA())</f>
      </c>
      <c r="B19">
        <f t="array" ref="B19">IFERROR(INDEX('射擊表'!$C$2:$C$500,MATCH(1,('射擊表'!$A$2:$A$500=4)*('射擊表'!$B$2:$B$500=A19),0)),NA())</f>
      </c>
      <c r="C19">
        <f t="array" ref="C19">IFERROR(INDEX(IF('射擊表'!$E$2:$E$500="us",ABS('射擊表'!$D$2:$D$500-1500)/5,'射擊表'!$D$2:$D$500),MATCH(1,('射擊表'!$A$2:$A$500=4)*('射擊表'!$B$2:$B$500=A19),0)),NA())</f>
      </c>
      <c r="D19">
        <f t="array" ref="D19">IFERROR(SMALL(IF('射擊表'!$A$2:$A$500=5,'射擊表'!$B$2:$B$500),18),NA())</f>
      </c>
      <c r="E19">
        <f t="array" ref="E19">IFERROR(INDEX('射擊表'!$C$2:$C$500,MATCH(1,('射擊表'!$A$2:$A$500=5)*('射擊表'!$B$2:$B$500=D19),0)),NA())</f>
      </c>
      <c r="F19">
        <f t="array" ref="F19">IFERROR(INDEX(IF('射擊表'!$E$2:$E$500="us",ABS('射擊表'!$D$2:$D$500-1500)/5,'射擊表'!$D$2:$D$500),MATCH(1,('射擊表'!$A$2:$A$500=5)*('射擊表'!$B$2:$B$500=D19),0)),NA())</f>
      </c>
      <c r="G19">
        <f t="array" ref="G19">IFERROR(SMALL(IF('射擊表'!$A$2:$A$500=6,'射擊表'!$B$2:$B$500),18),NA())</f>
      </c>
      <c r="H19">
        <f t="array" ref="H19">IFERROR(INDEX('射擊表'!$C$2:$C$500,MATCH(1,('射擊表'!$A$2:$A$500=6)*('射擊表'!$B$2:$B$500=G19),0)),NA())</f>
      </c>
      <c r="I19">
        <f t="array" ref="I19">IFERROR(INDEX(IF('射擊表'!$E$2:$E$500="us",ABS('射擊表'!$D$2:$D$500-1500)/5,'射擊表'!$D$2:$D$500),MATCH(1,('射擊表'!$A$2:$A$500=6)*('射擊表'!$B$2:$B$500=G19),0)),NA())</f>
      </c>
    </row>
    <row r="20">
      <c r="A20">
        <f t="array" ref="A20">IFERROR(SMALL(IF('射擊表'!$A$2:$A$500=4,'射擊表'!$B$2:$B$500),19),NA())</f>
      </c>
      <c r="B20">
        <f t="array" ref="B20">IFERROR(INDEX('射擊表'!$C$2:$C$500,MATCH(1,('射擊表'!$A$2:$A$500=4)*('射擊表'!$B$2:$B$500=A20),0)),NA())</f>
      </c>
      <c r="C20">
        <f t="array" ref="C20">IFERROR(INDEX(IF('射擊表'!$E$2:$E$500="us",ABS('射擊表'!$D$2:$D$500-1500)/5,'射擊表'!$D$2:$D$500),MATCH(1,('射擊表'!$A$2:$A$500=4)*('射擊表'!$B$2:$B$500=A20),0)),NA())</f>
      </c>
      <c r="D20">
        <f t="array" ref="D20">IFERROR(SMALL(IF('射擊表'!$A$2:$A$500=5,'射擊表'!$B$2:$B$500),19),NA())</f>
      </c>
      <c r="E20">
        <f t="array" ref="E20">IFERROR(INDEX('射擊表'!$C$2:$C$500,MATCH(1,('射擊表'!$A$2:$A$500=5)*('射擊表'!$B$2:$B$500=D20),0)),NA())</f>
      </c>
      <c r="F20">
        <f t="array" ref="F20">IFERROR(INDEX(IF('射擊表'!$E$2:$E$500="us",ABS('射擊表'!$D$2:$D$500-1500)/5,'射擊表'!$D$2:$D$500),MATCH(1,('射擊表'!$A$2:$A$500=5)*('射擊表'!$B$2:$B$500=D20),0)),NA())</f>
      </c>
      <c r="G20">
        <f t="array" ref="G20">IFERROR(SMALL(IF('射擊表'!$A$2:$A$500=6,'射擊表'!$B$2:$B$500),19),NA())</f>
      </c>
      <c r="H20">
        <f t="array" ref="H20">IFERROR(INDEX('射擊表'!$C$2:$C$500,MATCH(1,('射擊表'!$A$2:$A$500=6)*('射擊表'!$B$2:$B$500=G20),0)),NA())</f>
      </c>
      <c r="I20">
        <f t="array" ref="I20">IFERROR(INDEX(IF('射擊表'!$E$2:$E$500="us",ABS('射擊表'!$D$2:$D$500-1500)/5,'射擊表'!$D$2:$D$500),MATCH(1,('射擊表'!$A$2:$A$500=6)*('射擊表'!$B$2:$B$500=G20),0)),NA())</f>
      </c>
    </row>
    <row r="21">
      <c r="A21">
        <f t="array" ref="A21">IFERROR(SMALL(IF('射擊表'!$A$2:$A$500=4,'射擊表'!$B$2:$B$500),20),NA())</f>
      </c>
      <c r="B21">
        <f t="array" ref="B21">IFERROR(INDEX('射擊表'!$C$2:$C$500,MATCH(1,('射擊表'!$A$2:$A$500=4)*('射擊表'!$B$2:$B$500=A21),0)),NA())</f>
      </c>
      <c r="C21">
        <f t="array" ref="C21">IFERROR(INDEX(IF('射擊表'!$E$2:$E$500="us",ABS('射擊表'!$D$2:$D$500-1500)/5,'射擊表'!$D$2:$D$500),MATCH(1,('射擊表'!$A$2:$A$500=4)*('射擊表'!$B$2:$B$500=A21),0)),NA())</f>
      </c>
      <c r="D21">
        <f t="array" ref="D21">IFERROR(SMALL(IF('射擊表'!$A$2:$A$500=5,'射擊表'!$B$2:$B$500),20),NA())</f>
      </c>
      <c r="E21">
        <f t="array" ref="E21">IFERROR(INDEX('射擊表'!$C$2:$C$500,MATCH(1,('射擊表'!$A$2:$A$500=5)*('射擊表'!$B$2:$B$500=D21),0)),NA())</f>
      </c>
      <c r="F21">
        <f t="array" ref="F21">IFERROR(INDEX(IF('射擊表'!$E$2:$E$500="us",ABS('射擊表'!$D$2:$D$500-1500)/5,'射擊表'!$D$2:$D$500),MATCH(1,('射擊表'!$A$2:$A$500=5)*('射擊表'!$B$2:$B$500=D21),0)),NA())</f>
      </c>
      <c r="G21">
        <f t="array" ref="G21">IFERROR(SMALL(IF('射擊表'!$A$2:$A$500=6,'射擊表'!$B$2:$B$500),20),NA())</f>
      </c>
      <c r="H21">
        <f t="array" ref="H21">IFERROR(INDEX('射擊表'!$C$2:$C$500,MATCH(1,('射擊表'!$A$2:$A$500=6)*('射擊表'!$B$2:$B$500=G21),0)),NA())</f>
      </c>
      <c r="I21">
        <f t="array" ref="I21">IFERROR(INDEX(IF('射擊表'!$E$2:$E$500="us",ABS('射擊表'!$D$2:$D$500-1500)/5,'射擊表'!$D$2:$D$500),MATCH(1,('射擊表'!$A$2:$A$500=6)*('射擊表'!$B$2:$B$500=G21),0)),NA())</f>
      </c>
    </row>
    <row r="22">
      <c r="A22">
        <f t="array" ref="A22">IFERROR(SMALL(IF('射擊表'!$A$2:$A$500=4,'射擊表'!$B$2:$B$500),21),NA())</f>
      </c>
      <c r="B22">
        <f t="array" ref="B22">IFERROR(INDEX('射擊表'!$C$2:$C$500,MATCH(1,('射擊表'!$A$2:$A$500=4)*('射擊表'!$B$2:$B$500=A22),0)),NA())</f>
      </c>
      <c r="C22">
        <f t="array" ref="C22">IFERROR(INDEX(IF('射擊表'!$E$2:$E$500="us",ABS('射擊表'!$D$2:$D$500-1500)/5,'射擊表'!$D$2:$D$500),MATCH(1,('射擊表'!$A$2:$A$500=4)*('射擊表'!$B$2:$B$500=A22),0)),NA())</f>
      </c>
      <c r="D22">
        <f t="array" ref="D22">IFERROR(SMALL(IF('射擊表'!$A$2:$A$500=5,'射擊表'!$B$2:$B$500),21),NA())</f>
      </c>
      <c r="E22">
        <f t="array" ref="E22">IFERROR(INDEX('射擊表'!$C$2:$C$500,MATCH(1,('射擊表'!$A$2:$A$500=5)*('射擊表'!$B$2:$B$500=D22),0)),NA())</f>
      </c>
      <c r="F22">
        <f t="array" ref="F22">IFERROR(INDEX(IF('射擊表'!$E$2:$E$500="us",ABS('射擊表'!$D$2:$D$500-1500)/5,'射擊表'!$D$2:$D$500),MATCH(1,('射擊表'!$A$2:$A$500=5)*('射擊表'!$B$2:$B$500=D22),0)),NA())</f>
      </c>
      <c r="G22">
        <f t="array" ref="G22">IFERROR(SMALL(IF('射擊表'!$A$2:$A$500=6,'射擊表'!$B$2:$B$500),21),NA())</f>
      </c>
      <c r="H22">
        <f t="array" ref="H22">IFERROR(INDEX('射擊表'!$C$2:$C$500,MATCH(1,('射擊表'!$A$2:$A$500=6)*('射擊表'!$B$2:$B$500=G22),0)),NA())</f>
      </c>
      <c r="I22">
        <f t="array" ref="I22">IFERROR(INDEX(IF('射擊表'!$E$2:$E$500="us",ABS('射擊表'!$D$2:$D$500-1500)/5,'射擊表'!$D$2:$D$500),MATCH(1,('射擊表'!$A$2:$A$500=6)*('射擊表'!$B$2:$B$500=G22),0)),NA())</f>
      </c>
    </row>
    <row r="23">
      <c r="A23">
        <f t="array" ref="A23">IFERROR(SMALL(IF('射擊表'!$A$2:$A$500=4,'射擊表'!$B$2:$B$500),22),NA())</f>
      </c>
      <c r="B23">
        <f t="array" ref="B23">IFERROR(INDEX('射擊表'!$C$2:$C$500,MATCH(1,('射擊表'!$A$2:$A$500=4)*('射擊表'!$B$2:$B$500=A23),0)),NA())</f>
      </c>
      <c r="C23">
        <f t="array" ref="C23">IFERROR(INDEX(IF('射擊表'!$E$2:$E$500="us",ABS('射擊表'!$D$2:$D$500-1500)/5,'射擊表'!$D$2:$D$500),MATCH(1,('射擊表'!$A$2:$A$500=4)*('射擊表'!$B$2:$B$500=A23),0)),NA())</f>
      </c>
      <c r="D23">
        <f t="array" ref="D23">IFERROR(SMALL(IF('射擊表'!$A$2:$A$500=5,'射擊表'!$B$2:$B$500),22),NA())</f>
      </c>
      <c r="E23">
        <f t="array" ref="E23">IFERROR(INDEX('射擊表'!$C$2:$C$500,MATCH(1,('射擊表'!$A$2:$A$500=5)*('射擊表'!$B$2:$B$500=D23),0)),NA())</f>
      </c>
      <c r="F23">
        <f t="array" ref="F23">IFERROR(INDEX(IF('射擊表'!$E$2:$E$500="us",ABS('射擊表'!$D$2:$D$500-1500)/5,'射擊表'!$D$2:$D$500),MATCH(1,('射擊表'!$A$2:$A$500=5)*('射擊表'!$B$2:$B$500=D23),0)),NA())</f>
      </c>
      <c r="G23">
        <f t="array" ref="G23">IFERROR(SMALL(IF('射擊表'!$A$2:$A$500=6,'射擊表'!$B$2:$B$500),22),NA())</f>
      </c>
      <c r="H23">
        <f t="array" ref="H23">IFERROR(INDEX('射擊表'!$C$2:$C$500,MATCH(1,('射擊表'!$A$2:$A$500=6)*('射擊表'!$B$2:$B$500=G23),0)),NA())</f>
      </c>
      <c r="I23">
        <f t="array" ref="I23">IFERROR(INDEX(IF('射擊表'!$E$2:$E$500="us",ABS('射擊表'!$D$2:$D$500-1500)/5,'射擊表'!$D$2:$D$500),MATCH(1,('射擊表'!$A$2:$A$500=6)*('射擊表'!$B$2:$B$500=G23),0)),NA())</f>
      </c>
    </row>
    <row r="24">
      <c r="A24">
        <f t="array" ref="A24">IFERROR(SMALL(IF('射擊表'!$A$2:$A$500=4,'射擊表'!$B$2:$B$500),23),NA())</f>
      </c>
      <c r="B24">
        <f t="array" ref="B24">IFERROR(INDEX('射擊表'!$C$2:$C$500,MATCH(1,('射擊表'!$A$2:$A$500=4)*('射擊表'!$B$2:$B$500=A24),0)),NA())</f>
      </c>
      <c r="C24">
        <f t="array" ref="C24">IFERROR(INDEX(IF('射擊表'!$E$2:$E$500="us",ABS('射擊表'!$D$2:$D$500-1500)/5,'射擊表'!$D$2:$D$500),MATCH(1,('射擊表'!$A$2:$A$500=4)*('射擊表'!$B$2:$B$500=A24),0)),NA())</f>
      </c>
      <c r="D24">
        <f t="array" ref="D24">IFERROR(SMALL(IF('射擊表'!$A$2:$A$500=5,'射擊表'!$B$2:$B$500),23),NA())</f>
      </c>
      <c r="E24">
        <f t="array" ref="E24">IFERROR(INDEX('射擊表'!$C$2:$C$500,MATCH(1,('射擊表'!$A$2:$A$500=5)*('射擊表'!$B$2:$B$500=D24),0)),NA())</f>
      </c>
      <c r="F24">
        <f t="array" ref="F24">IFERROR(INDEX(IF('射擊表'!$E$2:$E$500="us",ABS('射擊表'!$D$2:$D$500-1500)/5,'射擊表'!$D$2:$D$500),MATCH(1,('射擊表'!$A$2:$A$500=5)*('射擊表'!$B$2:$B$500=D24),0)),NA())</f>
      </c>
      <c r="G24">
        <f t="array" ref="G24">IFERROR(SMALL(IF('射擊表'!$A$2:$A$500=6,'射擊表'!$B$2:$B$500),23),NA())</f>
      </c>
      <c r="H24">
        <f t="array" ref="H24">IFERROR(INDEX('射擊表'!$C$2:$C$500,MATCH(1,('射擊表'!$A$2:$A$500=6)*('射擊表'!$B$2:$B$500=G24),0)),NA())</f>
      </c>
      <c r="I24">
        <f t="array" ref="I24">IFERROR(INDEX(IF('射擊表'!$E$2:$E$500="us",ABS('射擊表'!$D$2:$D$500-1500)/5,'射擊表'!$D$2:$D$500),MATCH(1,('射擊表'!$A$2:$A$500=6)*('射擊表'!$B$2:$B$500=G24),0)),NA())</f>
      </c>
    </row>
    <row r="25">
      <c r="A25">
        <f t="array" ref="A25">IFERROR(SMALL(IF('射擊表'!$A$2:$A$500=4,'射擊表'!$B$2:$B$500),24),NA())</f>
      </c>
      <c r="B25">
        <f t="array" ref="B25">IFERROR(INDEX('射擊表'!$C$2:$C$500,MATCH(1,('射擊表'!$A$2:$A$500=4)*('射擊表'!$B$2:$B$500=A25),0)),NA())</f>
      </c>
      <c r="C25">
        <f t="array" ref="C25">IFERROR(INDEX(IF('射擊表'!$E$2:$E$500="us",ABS('射擊表'!$D$2:$D$500-1500)/5,'射擊表'!$D$2:$D$500),MATCH(1,('射擊表'!$A$2:$A$500=4)*('射擊表'!$B$2:$B$500=A25),0)),NA())</f>
      </c>
      <c r="D25">
        <f t="array" ref="D25">IFERROR(SMALL(IF('射擊表'!$A$2:$A$500=5,'射擊表'!$B$2:$B$500),24),NA())</f>
      </c>
      <c r="E25">
        <f t="array" ref="E25">IFERROR(INDEX('射擊表'!$C$2:$C$500,MATCH(1,('射擊表'!$A$2:$A$500=5)*('射擊表'!$B$2:$B$500=D25),0)),NA())</f>
      </c>
      <c r="F25">
        <f t="array" ref="F25">IFERROR(INDEX(IF('射擊表'!$E$2:$E$500="us",ABS('射擊表'!$D$2:$D$500-1500)/5,'射擊表'!$D$2:$D$500),MATCH(1,('射擊表'!$A$2:$A$500=5)*('射擊表'!$B$2:$B$500=D25),0)),NA())</f>
      </c>
      <c r="G25">
        <f t="array" ref="G25">IFERROR(SMALL(IF('射擊表'!$A$2:$A$500=6,'射擊表'!$B$2:$B$500),24),NA())</f>
      </c>
      <c r="H25">
        <f t="array" ref="H25">IFERROR(INDEX('射擊表'!$C$2:$C$500,MATCH(1,('射擊表'!$A$2:$A$500=6)*('射擊表'!$B$2:$B$500=G25),0)),NA())</f>
      </c>
      <c r="I25">
        <f t="array" ref="I25">IFERROR(INDEX(IF('射擊表'!$E$2:$E$500="us",ABS('射擊表'!$D$2:$D$500-1500)/5,'射擊表'!$D$2:$D$500),MATCH(1,('射擊表'!$A$2:$A$500=6)*('射擊表'!$B$2:$B$500=G25),0)),NA())</f>
      </c>
    </row>
    <row r="26">
      <c r="A26">
        <f t="array" ref="A26">IFERROR(SMALL(IF('射擊表'!$A$2:$A$500=4,'射擊表'!$B$2:$B$500),25),NA())</f>
      </c>
      <c r="B26">
        <f t="array" ref="B26">IFERROR(INDEX('射擊表'!$C$2:$C$500,MATCH(1,('射擊表'!$A$2:$A$500=4)*('射擊表'!$B$2:$B$500=A26),0)),NA())</f>
      </c>
      <c r="C26">
        <f t="array" ref="C26">IFERROR(INDEX(IF('射擊表'!$E$2:$E$500="us",ABS('射擊表'!$D$2:$D$500-1500)/5,'射擊表'!$D$2:$D$500),MATCH(1,('射擊表'!$A$2:$A$500=4)*('射擊表'!$B$2:$B$500=A26),0)),NA())</f>
      </c>
      <c r="D26">
        <f t="array" ref="D26">IFERROR(SMALL(IF('射擊表'!$A$2:$A$500=5,'射擊表'!$B$2:$B$500),25),NA())</f>
      </c>
      <c r="E26">
        <f t="array" ref="E26">IFERROR(INDEX('射擊表'!$C$2:$C$500,MATCH(1,('射擊表'!$A$2:$A$500=5)*('射擊表'!$B$2:$B$500=D26),0)),NA())</f>
      </c>
      <c r="F26">
        <f t="array" ref="F26">IFERROR(INDEX(IF('射擊表'!$E$2:$E$500="us",ABS('射擊表'!$D$2:$D$500-1500)/5,'射擊表'!$D$2:$D$500),MATCH(1,('射擊表'!$A$2:$A$500=5)*('射擊表'!$B$2:$B$500=D26),0)),NA())</f>
      </c>
      <c r="G26">
        <f t="array" ref="G26">IFERROR(SMALL(IF('射擊表'!$A$2:$A$500=6,'射擊表'!$B$2:$B$500),25),NA())</f>
      </c>
      <c r="H26">
        <f t="array" ref="H26">IFERROR(INDEX('射擊表'!$C$2:$C$500,MATCH(1,('射擊表'!$A$2:$A$500=6)*('射擊表'!$B$2:$B$500=G26),0)),NA())</f>
      </c>
      <c r="I26">
        <f t="array" ref="I26">IFERROR(INDEX(IF('射擊表'!$E$2:$E$500="us",ABS('射擊表'!$D$2:$D$500-1500)/5,'射擊表'!$D$2:$D$500),MATCH(1,('射擊表'!$A$2:$A$500=6)*('射擊表'!$B$2:$B$500=G26),0)),NA())</f>
      </c>
    </row>
    <row r="27">
      <c r="A27">
        <f t="array" ref="A27">IFERROR(SMALL(IF('射擊表'!$A$2:$A$500=4,'射擊表'!$B$2:$B$500),26),NA())</f>
      </c>
      <c r="B27">
        <f t="array" ref="B27">IFERROR(INDEX('射擊表'!$C$2:$C$500,MATCH(1,('射擊表'!$A$2:$A$500=4)*('射擊表'!$B$2:$B$500=A27),0)),NA())</f>
      </c>
      <c r="C27">
        <f t="array" ref="C27">IFERROR(INDEX(IF('射擊表'!$E$2:$E$500="us",ABS('射擊表'!$D$2:$D$500-1500)/5,'射擊表'!$D$2:$D$500),MATCH(1,('射擊表'!$A$2:$A$500=4)*('射擊表'!$B$2:$B$500=A27),0)),NA())</f>
      </c>
      <c r="D27">
        <f t="array" ref="D27">IFERROR(SMALL(IF('射擊表'!$A$2:$A$500=5,'射擊表'!$B$2:$B$500),26),NA())</f>
      </c>
      <c r="E27">
        <f t="array" ref="E27">IFERROR(INDEX('射擊表'!$C$2:$C$500,MATCH(1,('射擊表'!$A$2:$A$500=5)*('射擊表'!$B$2:$B$500=D27),0)),NA())</f>
      </c>
      <c r="F27">
        <f t="array" ref="F27">IFERROR(INDEX(IF('射擊表'!$E$2:$E$500="us",ABS('射擊表'!$D$2:$D$500-1500)/5,'射擊表'!$D$2:$D$500),MATCH(1,('射擊表'!$A$2:$A$500=5)*('射擊表'!$B$2:$B$500=D27),0)),NA())</f>
      </c>
      <c r="G27">
        <f t="array" ref="G27">IFERROR(SMALL(IF('射擊表'!$A$2:$A$500=6,'射擊表'!$B$2:$B$500),26),NA())</f>
      </c>
      <c r="H27">
        <f t="array" ref="H27">IFERROR(INDEX('射擊表'!$C$2:$C$500,MATCH(1,('射擊表'!$A$2:$A$500=6)*('射擊表'!$B$2:$B$500=G27),0)),NA())</f>
      </c>
      <c r="I27">
        <f t="array" ref="I27">IFERROR(INDEX(IF('射擊表'!$E$2:$E$500="us",ABS('射擊表'!$D$2:$D$500-1500)/5,'射擊表'!$D$2:$D$500),MATCH(1,('射擊表'!$A$2:$A$500=6)*('射擊表'!$B$2:$B$500=G27),0)),NA())</f>
      </c>
    </row>
    <row r="28">
      <c r="A28">
        <f t="array" ref="A28">IFERROR(SMALL(IF('射擊表'!$A$2:$A$500=4,'射擊表'!$B$2:$B$500),27),NA())</f>
      </c>
      <c r="B28">
        <f t="array" ref="B28">IFERROR(INDEX('射擊表'!$C$2:$C$500,MATCH(1,('射擊表'!$A$2:$A$500=4)*('射擊表'!$B$2:$B$500=A28),0)),NA())</f>
      </c>
      <c r="C28">
        <f t="array" ref="C28">IFERROR(INDEX(IF('射擊表'!$E$2:$E$500="us",ABS('射擊表'!$D$2:$D$500-1500)/5,'射擊表'!$D$2:$D$500),MATCH(1,('射擊表'!$A$2:$A$500=4)*('射擊表'!$B$2:$B$500=A28),0)),NA())</f>
      </c>
      <c r="D28">
        <f t="array" ref="D28">IFERROR(SMALL(IF('射擊表'!$A$2:$A$500=5,'射擊表'!$B$2:$B$500),27),NA())</f>
      </c>
      <c r="E28">
        <f t="array" ref="E28">IFERROR(INDEX('射擊表'!$C$2:$C$500,MATCH(1,('射擊表'!$A$2:$A$500=5)*('射擊表'!$B$2:$B$500=D28),0)),NA())</f>
      </c>
      <c r="F28">
        <f t="array" ref="F28">IFERROR(INDEX(IF('射擊表'!$E$2:$E$500="us",ABS('射擊表'!$D$2:$D$500-1500)/5,'射擊表'!$D$2:$D$500),MATCH(1,('射擊表'!$A$2:$A$500=5)*('射擊表'!$B$2:$B$500=D28),0)),NA())</f>
      </c>
      <c r="G28">
        <f t="array" ref="G28">IFERROR(SMALL(IF('射擊表'!$A$2:$A$500=6,'射擊表'!$B$2:$B$500),27),NA())</f>
      </c>
      <c r="H28">
        <f t="array" ref="H28">IFERROR(INDEX('射擊表'!$C$2:$C$500,MATCH(1,('射擊表'!$A$2:$A$500=6)*('射擊表'!$B$2:$B$500=G28),0)),NA())</f>
      </c>
      <c r="I28">
        <f t="array" ref="I28">IFERROR(INDEX(IF('射擊表'!$E$2:$E$500="us",ABS('射擊表'!$D$2:$D$500-1500)/5,'射擊表'!$D$2:$D$500),MATCH(1,('射擊表'!$A$2:$A$500=6)*('射擊表'!$B$2:$B$500=G28),0)),NA())</f>
      </c>
    </row>
    <row r="29">
      <c r="A29">
        <f t="array" ref="A29">IFERROR(SMALL(IF('射擊表'!$A$2:$A$500=4,'射擊表'!$B$2:$B$500),28),NA())</f>
      </c>
      <c r="B29">
        <f t="array" ref="B29">IFERROR(INDEX('射擊表'!$C$2:$C$500,MATCH(1,('射擊表'!$A$2:$A$500=4)*('射擊表'!$B$2:$B$500=A29),0)),NA())</f>
      </c>
      <c r="C29">
        <f t="array" ref="C29">IFERROR(INDEX(IF('射擊表'!$E$2:$E$500="us",ABS('射擊表'!$D$2:$D$500-1500)/5,'射擊表'!$D$2:$D$500),MATCH(1,('射擊表'!$A$2:$A$500=4)*('射擊表'!$B$2:$B$500=A29),0)),NA())</f>
      </c>
      <c r="D29">
        <f t="array" ref="D29">IFERROR(SMALL(IF('射擊表'!$A$2:$A$500=5,'射擊表'!$B$2:$B$500),28),NA())</f>
      </c>
      <c r="E29">
        <f t="array" ref="E29">IFERROR(INDEX('射擊表'!$C$2:$C$500,MATCH(1,('射擊表'!$A$2:$A$500=5)*('射擊表'!$B$2:$B$500=D29),0)),NA())</f>
      </c>
      <c r="F29">
        <f t="array" ref="F29">IFERROR(INDEX(IF('射擊表'!$E$2:$E$500="us",ABS('射擊表'!$D$2:$D$500-1500)/5,'射擊表'!$D$2:$D$500),MATCH(1,('射擊表'!$A$2:$A$500=5)*('射擊表'!$B$2:$B$500=D29),0)),NA())</f>
      </c>
      <c r="G29">
        <f t="array" ref="G29">IFERROR(SMALL(IF('射擊表'!$A$2:$A$500=6,'射擊表'!$B$2:$B$500),28),NA())</f>
      </c>
      <c r="H29">
        <f t="array" ref="H29">IFERROR(INDEX('射擊表'!$C$2:$C$500,MATCH(1,('射擊表'!$A$2:$A$500=6)*('射擊表'!$B$2:$B$500=G29),0)),NA())</f>
      </c>
      <c r="I29">
        <f t="array" ref="I29">IFERROR(INDEX(IF('射擊表'!$E$2:$E$500="us",ABS('射擊表'!$D$2:$D$500-1500)/5,'射擊表'!$D$2:$D$500),MATCH(1,('射擊表'!$A$2:$A$500=6)*('射擊表'!$B$2:$B$500=G29),0)),NA())</f>
      </c>
    </row>
    <row r="30">
      <c r="A30">
        <f t="array" ref="A30">IFERROR(SMALL(IF('射擊表'!$A$2:$A$500=4,'射擊表'!$B$2:$B$500),29),NA())</f>
      </c>
      <c r="B30">
        <f t="array" ref="B30">IFERROR(INDEX('射擊表'!$C$2:$C$500,MATCH(1,('射擊表'!$A$2:$A$500=4)*('射擊表'!$B$2:$B$500=A30),0)),NA())</f>
      </c>
      <c r="C30">
        <f t="array" ref="C30">IFERROR(INDEX(IF('射擊表'!$E$2:$E$500="us",ABS('射擊表'!$D$2:$D$500-1500)/5,'射擊表'!$D$2:$D$500),MATCH(1,('射擊表'!$A$2:$A$500=4)*('射擊表'!$B$2:$B$500=A30),0)),NA())</f>
      </c>
      <c r="D30">
        <f t="array" ref="D30">IFERROR(SMALL(IF('射擊表'!$A$2:$A$500=5,'射擊表'!$B$2:$B$500),29),NA())</f>
      </c>
      <c r="E30">
        <f t="array" ref="E30">IFERROR(INDEX('射擊表'!$C$2:$C$500,MATCH(1,('射擊表'!$A$2:$A$500=5)*('射擊表'!$B$2:$B$500=D30),0)),NA())</f>
      </c>
      <c r="F30">
        <f t="array" ref="F30">IFERROR(INDEX(IF('射擊表'!$E$2:$E$500="us",ABS('射擊表'!$D$2:$D$500-1500)/5,'射擊表'!$D$2:$D$500),MATCH(1,('射擊表'!$A$2:$A$500=5)*('射擊表'!$B$2:$B$500=D30),0)),NA())</f>
      </c>
      <c r="G30">
        <f t="array" ref="G30">IFERROR(SMALL(IF('射擊表'!$A$2:$A$500=6,'射擊表'!$B$2:$B$500),29),NA())</f>
      </c>
      <c r="H30">
        <f t="array" ref="H30">IFERROR(INDEX('射擊表'!$C$2:$C$500,MATCH(1,('射擊表'!$A$2:$A$500=6)*('射擊表'!$B$2:$B$500=G30),0)),NA())</f>
      </c>
      <c r="I30">
        <f t="array" ref="I30">IFERROR(INDEX(IF('射擊表'!$E$2:$E$500="us",ABS('射擊表'!$D$2:$D$500-1500)/5,'射擊表'!$D$2:$D$500),MATCH(1,('射擊表'!$A$2:$A$500=6)*('射擊表'!$B$2:$B$500=G30),0)),NA())</f>
      </c>
    </row>
    <row r="31">
      <c r="A31">
        <f t="array" ref="A31">IFERROR(SMALL(IF('射擊表'!$A$2:$A$500=4,'射擊表'!$B$2:$B$500),30),NA())</f>
      </c>
      <c r="B31">
        <f t="array" ref="B31">IFERROR(INDEX('射擊表'!$C$2:$C$500,MATCH(1,('射擊表'!$A$2:$A$500=4)*('射擊表'!$B$2:$B$500=A31),0)),NA())</f>
      </c>
      <c r="C31">
        <f t="array" ref="C31">IFERROR(INDEX(IF('射擊表'!$E$2:$E$500="us",ABS('射擊表'!$D$2:$D$500-1500)/5,'射擊表'!$D$2:$D$500),MATCH(1,('射擊表'!$A$2:$A$500=4)*('射擊表'!$B$2:$B$500=A31),0)),NA())</f>
      </c>
      <c r="D31">
        <f t="array" ref="D31">IFERROR(SMALL(IF('射擊表'!$A$2:$A$500=5,'射擊表'!$B$2:$B$500),30),NA())</f>
      </c>
      <c r="E31">
        <f t="array" ref="E31">IFERROR(INDEX('射擊表'!$C$2:$C$500,MATCH(1,('射擊表'!$A$2:$A$500=5)*('射擊表'!$B$2:$B$500=D31),0)),NA())</f>
      </c>
      <c r="F31">
        <f t="array" ref="F31">IFERROR(INDEX(IF('射擊表'!$E$2:$E$500="us",ABS('射擊表'!$D$2:$D$500-1500)/5,'射擊表'!$D$2:$D$500),MATCH(1,('射擊表'!$A$2:$A$500=5)*('射擊表'!$B$2:$B$500=D31),0)),NA())</f>
      </c>
      <c r="G31">
        <f t="array" ref="G31">IFERROR(SMALL(IF('射擊表'!$A$2:$A$500=6,'射擊表'!$B$2:$B$500),30),NA())</f>
      </c>
      <c r="H31">
        <f t="array" ref="H31">IFERROR(INDEX('射擊表'!$C$2:$C$500,MATCH(1,('射擊表'!$A$2:$A$500=6)*('射擊表'!$B$2:$B$500=G31),0)),NA())</f>
      </c>
      <c r="I31">
        <f t="array" ref="I31">IFERROR(INDEX(IF('射擊表'!$E$2:$E$500="us",ABS('射擊表'!$D$2:$D$500-1500)/5,'射擊表'!$D$2:$D$500),MATCH(1,('射擊表'!$A$2:$A$500=6)*('射擊表'!$B$2:$B$500=G31),0)),NA())</f>
      </c>
    </row>
    <row r="32">
      <c r="A32">
        <f t="array" ref="A32">IFERROR(SMALL(IF('射擊表'!$A$2:$A$500=4,'射擊表'!$B$2:$B$500),31),NA())</f>
      </c>
      <c r="B32">
        <f t="array" ref="B32">IFERROR(INDEX('射擊表'!$C$2:$C$500,MATCH(1,('射擊表'!$A$2:$A$500=4)*('射擊表'!$B$2:$B$500=A32),0)),NA())</f>
      </c>
      <c r="C32">
        <f t="array" ref="C32">IFERROR(INDEX(IF('射擊表'!$E$2:$E$500="us",ABS('射擊表'!$D$2:$D$500-1500)/5,'射擊表'!$D$2:$D$500),MATCH(1,('射擊表'!$A$2:$A$500=4)*('射擊表'!$B$2:$B$500=A32),0)),NA())</f>
      </c>
      <c r="D32">
        <f t="array" ref="D32">IFERROR(SMALL(IF('射擊表'!$A$2:$A$500=5,'射擊表'!$B$2:$B$500),31),NA())</f>
      </c>
      <c r="E32">
        <f t="array" ref="E32">IFERROR(INDEX('射擊表'!$C$2:$C$500,MATCH(1,('射擊表'!$A$2:$A$500=5)*('射擊表'!$B$2:$B$500=D32),0)),NA())</f>
      </c>
      <c r="F32">
        <f t="array" ref="F32">IFERROR(INDEX(IF('射擊表'!$E$2:$E$500="us",ABS('射擊表'!$D$2:$D$500-1500)/5,'射擊表'!$D$2:$D$500),MATCH(1,('射擊表'!$A$2:$A$500=5)*('射擊表'!$B$2:$B$500=D32),0)),NA())</f>
      </c>
      <c r="G32">
        <f t="array" ref="G32">IFERROR(SMALL(IF('射擊表'!$A$2:$A$500=6,'射擊表'!$B$2:$B$500),31),NA())</f>
      </c>
      <c r="H32">
        <f t="array" ref="H32">IFERROR(INDEX('射擊表'!$C$2:$C$500,MATCH(1,('射擊表'!$A$2:$A$500=6)*('射擊表'!$B$2:$B$500=G32),0)),NA())</f>
      </c>
      <c r="I32">
        <f t="array" ref="I32">IFERROR(INDEX(IF('射擊表'!$E$2:$E$500="us",ABS('射擊表'!$D$2:$D$500-1500)/5,'射擊表'!$D$2:$D$500),MATCH(1,('射擊表'!$A$2:$A$500=6)*('射擊表'!$B$2:$B$500=G32),0)),NA())</f>
      </c>
    </row>
    <row r="33">
      <c r="A33">
        <f t="array" ref="A33">IFERROR(SMALL(IF('射擊表'!$A$2:$A$500=4,'射擊表'!$B$2:$B$500),32),NA())</f>
      </c>
      <c r="B33">
        <f t="array" ref="B33">IFERROR(INDEX('射擊表'!$C$2:$C$500,MATCH(1,('射擊表'!$A$2:$A$500=4)*('射擊表'!$B$2:$B$500=A33),0)),NA())</f>
      </c>
      <c r="C33">
        <f t="array" ref="C33">IFERROR(INDEX(IF('射擊表'!$E$2:$E$500="us",ABS('射擊表'!$D$2:$D$500-1500)/5,'射擊表'!$D$2:$D$500),MATCH(1,('射擊表'!$A$2:$A$500=4)*('射擊表'!$B$2:$B$500=A33),0)),NA())</f>
      </c>
      <c r="D33">
        <f t="array" ref="D33">IFERROR(SMALL(IF('射擊表'!$A$2:$A$500=5,'射擊表'!$B$2:$B$500),32),NA())</f>
      </c>
      <c r="E33">
        <f t="array" ref="E33">IFERROR(INDEX('射擊表'!$C$2:$C$500,MATCH(1,('射擊表'!$A$2:$A$500=5)*('射擊表'!$B$2:$B$500=D33),0)),NA())</f>
      </c>
      <c r="F33">
        <f t="array" ref="F33">IFERROR(INDEX(IF('射擊表'!$E$2:$E$500="us",ABS('射擊表'!$D$2:$D$500-1500)/5,'射擊表'!$D$2:$D$500),MATCH(1,('射擊表'!$A$2:$A$500=5)*('射擊表'!$B$2:$B$500=D33),0)),NA())</f>
      </c>
      <c r="G33">
        <f t="array" ref="G33">IFERROR(SMALL(IF('射擊表'!$A$2:$A$500=6,'射擊表'!$B$2:$B$500),32),NA())</f>
      </c>
      <c r="H33">
        <f t="array" ref="H33">IFERROR(INDEX('射擊表'!$C$2:$C$500,MATCH(1,('射擊表'!$A$2:$A$500=6)*('射擊表'!$B$2:$B$500=G33),0)),NA())</f>
      </c>
      <c r="I33">
        <f t="array" ref="I33">IFERROR(INDEX(IF('射擊表'!$E$2:$E$500="us",ABS('射擊表'!$D$2:$D$500-1500)/5,'射擊表'!$D$2:$D$500),MATCH(1,('射擊表'!$A$2:$A$500=6)*('射擊表'!$B$2:$B$500=G33),0)),NA())</f>
      </c>
    </row>
    <row r="34">
      <c r="A34">
        <f t="array" ref="A34">IFERROR(SMALL(IF('射擊表'!$A$2:$A$500=4,'射擊表'!$B$2:$B$500),33),NA())</f>
      </c>
      <c r="B34">
        <f t="array" ref="B34">IFERROR(INDEX('射擊表'!$C$2:$C$500,MATCH(1,('射擊表'!$A$2:$A$500=4)*('射擊表'!$B$2:$B$500=A34),0)),NA())</f>
      </c>
      <c r="C34">
        <f t="array" ref="C34">IFERROR(INDEX(IF('射擊表'!$E$2:$E$500="us",ABS('射擊表'!$D$2:$D$500-1500)/5,'射擊表'!$D$2:$D$500),MATCH(1,('射擊表'!$A$2:$A$500=4)*('射擊表'!$B$2:$B$500=A34),0)),NA())</f>
      </c>
      <c r="D34">
        <f t="array" ref="D34">IFERROR(SMALL(IF('射擊表'!$A$2:$A$500=5,'射擊表'!$B$2:$B$500),33),NA())</f>
      </c>
      <c r="E34">
        <f t="array" ref="E34">IFERROR(INDEX('射擊表'!$C$2:$C$500,MATCH(1,('射擊表'!$A$2:$A$500=5)*('射擊表'!$B$2:$B$500=D34),0)),NA())</f>
      </c>
      <c r="F34">
        <f t="array" ref="F34">IFERROR(INDEX(IF('射擊表'!$E$2:$E$500="us",ABS('射擊表'!$D$2:$D$500-1500)/5,'射擊表'!$D$2:$D$500),MATCH(1,('射擊表'!$A$2:$A$500=5)*('射擊表'!$B$2:$B$500=D34),0)),NA())</f>
      </c>
      <c r="G34">
        <f t="array" ref="G34">IFERROR(SMALL(IF('射擊表'!$A$2:$A$500=6,'射擊表'!$B$2:$B$500),33),NA())</f>
      </c>
      <c r="H34">
        <f t="array" ref="H34">IFERROR(INDEX('射擊表'!$C$2:$C$500,MATCH(1,('射擊表'!$A$2:$A$500=6)*('射擊表'!$B$2:$B$500=G34),0)),NA())</f>
      </c>
      <c r="I34">
        <f t="array" ref="I34">IFERROR(INDEX(IF('射擊表'!$E$2:$E$500="us",ABS('射擊表'!$D$2:$D$500-1500)/5,'射擊表'!$D$2:$D$500),MATCH(1,('射擊表'!$A$2:$A$500=6)*('射擊表'!$B$2:$B$500=G34),0)),NA())</f>
      </c>
    </row>
    <row r="35">
      <c r="A35">
        <f t="array" ref="A35">IFERROR(SMALL(IF('射擊表'!$A$2:$A$500=4,'射擊表'!$B$2:$B$500),34),NA())</f>
      </c>
      <c r="B35">
        <f t="array" ref="B35">IFERROR(INDEX('射擊表'!$C$2:$C$500,MATCH(1,('射擊表'!$A$2:$A$500=4)*('射擊表'!$B$2:$B$500=A35),0)),NA())</f>
      </c>
      <c r="C35">
        <f t="array" ref="C35">IFERROR(INDEX(IF('射擊表'!$E$2:$E$500="us",ABS('射擊表'!$D$2:$D$500-1500)/5,'射擊表'!$D$2:$D$500),MATCH(1,('射擊表'!$A$2:$A$500=4)*('射擊表'!$B$2:$B$500=A35),0)),NA())</f>
      </c>
      <c r="D35">
        <f t="array" ref="D35">IFERROR(SMALL(IF('射擊表'!$A$2:$A$500=5,'射擊表'!$B$2:$B$500),34),NA())</f>
      </c>
      <c r="E35">
        <f t="array" ref="E35">IFERROR(INDEX('射擊表'!$C$2:$C$500,MATCH(1,('射擊表'!$A$2:$A$500=5)*('射擊表'!$B$2:$B$500=D35),0)),NA())</f>
      </c>
      <c r="F35">
        <f t="array" ref="F35">IFERROR(INDEX(IF('射擊表'!$E$2:$E$500="us",ABS('射擊表'!$D$2:$D$500-1500)/5,'射擊表'!$D$2:$D$500),MATCH(1,('射擊表'!$A$2:$A$500=5)*('射擊表'!$B$2:$B$500=D35),0)),NA())</f>
      </c>
      <c r="G35">
        <f t="array" ref="G35">IFERROR(SMALL(IF('射擊表'!$A$2:$A$500=6,'射擊表'!$B$2:$B$500),34),NA())</f>
      </c>
      <c r="H35">
        <f t="array" ref="H35">IFERROR(INDEX('射擊表'!$C$2:$C$500,MATCH(1,('射擊表'!$A$2:$A$500=6)*('射擊表'!$B$2:$B$500=G35),0)),NA())</f>
      </c>
      <c r="I35">
        <f t="array" ref="I35">IFERROR(INDEX(IF('射擊表'!$E$2:$E$500="us",ABS('射擊表'!$D$2:$D$500-1500)/5,'射擊表'!$D$2:$D$500),MATCH(1,('射擊表'!$A$2:$A$500=6)*('射擊表'!$B$2:$B$500=G35),0)),NA())</f>
      </c>
    </row>
    <row r="36">
      <c r="A36">
        <f t="array" ref="A36">IFERROR(SMALL(IF('射擊表'!$A$2:$A$500=4,'射擊表'!$B$2:$B$500),35),NA())</f>
      </c>
      <c r="B36">
        <f t="array" ref="B36">IFERROR(INDEX('射擊表'!$C$2:$C$500,MATCH(1,('射擊表'!$A$2:$A$500=4)*('射擊表'!$B$2:$B$500=A36),0)),NA())</f>
      </c>
      <c r="C36">
        <f t="array" ref="C36">IFERROR(INDEX(IF('射擊表'!$E$2:$E$500="us",ABS('射擊表'!$D$2:$D$500-1500)/5,'射擊表'!$D$2:$D$500),MATCH(1,('射擊表'!$A$2:$A$500=4)*('射擊表'!$B$2:$B$500=A36),0)),NA())</f>
      </c>
      <c r="D36">
        <f t="array" ref="D36">IFERROR(SMALL(IF('射擊表'!$A$2:$A$500=5,'射擊表'!$B$2:$B$500),35),NA())</f>
      </c>
      <c r="E36">
        <f t="array" ref="E36">IFERROR(INDEX('射擊表'!$C$2:$C$500,MATCH(1,('射擊表'!$A$2:$A$500=5)*('射擊表'!$B$2:$B$500=D36),0)),NA())</f>
      </c>
      <c r="F36">
        <f t="array" ref="F36">IFERROR(INDEX(IF('射擊表'!$E$2:$E$500="us",ABS('射擊表'!$D$2:$D$500-1500)/5,'射擊表'!$D$2:$D$500),MATCH(1,('射擊表'!$A$2:$A$500=5)*('射擊表'!$B$2:$B$500=D36),0)),NA())</f>
      </c>
      <c r="G36">
        <f t="array" ref="G36">IFERROR(SMALL(IF('射擊表'!$A$2:$A$500=6,'射擊表'!$B$2:$B$500),35),NA())</f>
      </c>
      <c r="H36">
        <f t="array" ref="H36">IFERROR(INDEX('射擊表'!$C$2:$C$500,MATCH(1,('射擊表'!$A$2:$A$500=6)*('射擊表'!$B$2:$B$500=G36),0)),NA())</f>
      </c>
      <c r="I36">
        <f t="array" ref="I36">IFERROR(INDEX(IF('射擊表'!$E$2:$E$500="us",ABS('射擊表'!$D$2:$D$500-1500)/5,'射擊表'!$D$2:$D$500),MATCH(1,('射擊表'!$A$2:$A$500=6)*('射擊表'!$B$2:$B$500=G36),0)),NA())</f>
      </c>
    </row>
    <row r="37">
      <c r="A37">
        <f t="array" ref="A37">IFERROR(SMALL(IF('射擊表'!$A$2:$A$500=4,'射擊表'!$B$2:$B$500),36),NA())</f>
      </c>
      <c r="B37">
        <f t="array" ref="B37">IFERROR(INDEX('射擊表'!$C$2:$C$500,MATCH(1,('射擊表'!$A$2:$A$500=4)*('射擊表'!$B$2:$B$500=A37),0)),NA())</f>
      </c>
      <c r="C37">
        <f t="array" ref="C37">IFERROR(INDEX(IF('射擊表'!$E$2:$E$500="us",ABS('射擊表'!$D$2:$D$500-1500)/5,'射擊表'!$D$2:$D$500),MATCH(1,('射擊表'!$A$2:$A$500=4)*('射擊表'!$B$2:$B$500=A37),0)),NA())</f>
      </c>
      <c r="D37">
        <f t="array" ref="D37">IFERROR(SMALL(IF('射擊表'!$A$2:$A$500=5,'射擊表'!$B$2:$B$500),36),NA())</f>
      </c>
      <c r="E37">
        <f t="array" ref="E37">IFERROR(INDEX('射擊表'!$C$2:$C$500,MATCH(1,('射擊表'!$A$2:$A$500=5)*('射擊表'!$B$2:$B$500=D37),0)),NA())</f>
      </c>
      <c r="F37">
        <f t="array" ref="F37">IFERROR(INDEX(IF('射擊表'!$E$2:$E$500="us",ABS('射擊表'!$D$2:$D$500-1500)/5,'射擊表'!$D$2:$D$500),MATCH(1,('射擊表'!$A$2:$A$500=5)*('射擊表'!$B$2:$B$500=D37),0)),NA())</f>
      </c>
      <c r="G37">
        <f t="array" ref="G37">IFERROR(SMALL(IF('射擊表'!$A$2:$A$500=6,'射擊表'!$B$2:$B$500),36),NA())</f>
      </c>
      <c r="H37">
        <f t="array" ref="H37">IFERROR(INDEX('射擊表'!$C$2:$C$500,MATCH(1,('射擊表'!$A$2:$A$500=6)*('射擊表'!$B$2:$B$500=G37),0)),NA())</f>
      </c>
      <c r="I37">
        <f t="array" ref="I37">IFERROR(INDEX(IF('射擊表'!$E$2:$E$500="us",ABS('射擊表'!$D$2:$D$500-1500)/5,'射擊表'!$D$2:$D$500),MATCH(1,('射擊表'!$A$2:$A$500=6)*('射擊表'!$B$2:$B$500=G37),0)),NA())</f>
      </c>
    </row>
    <row r="38">
      <c r="A38">
        <f t="array" ref="A38">IFERROR(SMALL(IF('射擊表'!$A$2:$A$500=4,'射擊表'!$B$2:$B$500),37),NA())</f>
      </c>
      <c r="B38">
        <f t="array" ref="B38">IFERROR(INDEX('射擊表'!$C$2:$C$500,MATCH(1,('射擊表'!$A$2:$A$500=4)*('射擊表'!$B$2:$B$500=A38),0)),NA())</f>
      </c>
      <c r="C38">
        <f t="array" ref="C38">IFERROR(INDEX(IF('射擊表'!$E$2:$E$500="us",ABS('射擊表'!$D$2:$D$500-1500)/5,'射擊表'!$D$2:$D$500),MATCH(1,('射擊表'!$A$2:$A$500=4)*('射擊表'!$B$2:$B$500=A38),0)),NA())</f>
      </c>
      <c r="D38">
        <f t="array" ref="D38">IFERROR(SMALL(IF('射擊表'!$A$2:$A$500=5,'射擊表'!$B$2:$B$500),37),NA())</f>
      </c>
      <c r="E38">
        <f t="array" ref="E38">IFERROR(INDEX('射擊表'!$C$2:$C$500,MATCH(1,('射擊表'!$A$2:$A$500=5)*('射擊表'!$B$2:$B$500=D38),0)),NA())</f>
      </c>
      <c r="F38">
        <f t="array" ref="F38">IFERROR(INDEX(IF('射擊表'!$E$2:$E$500="us",ABS('射擊表'!$D$2:$D$500-1500)/5,'射擊表'!$D$2:$D$500),MATCH(1,('射擊表'!$A$2:$A$500=5)*('射擊表'!$B$2:$B$500=D38),0)),NA())</f>
      </c>
      <c r="G38">
        <f t="array" ref="G38">IFERROR(SMALL(IF('射擊表'!$A$2:$A$500=6,'射擊表'!$B$2:$B$500),37),NA())</f>
      </c>
      <c r="H38">
        <f t="array" ref="H38">IFERROR(INDEX('射擊表'!$C$2:$C$500,MATCH(1,('射擊表'!$A$2:$A$500=6)*('射擊表'!$B$2:$B$500=G38),0)),NA())</f>
      </c>
      <c r="I38">
        <f t="array" ref="I38">IFERROR(INDEX(IF('射擊表'!$E$2:$E$500="us",ABS('射擊表'!$D$2:$D$500-1500)/5,'射擊表'!$D$2:$D$500),MATCH(1,('射擊表'!$A$2:$A$500=6)*('射擊表'!$B$2:$B$500=G38),0)),NA())</f>
      </c>
    </row>
    <row r="39">
      <c r="A39">
        <f t="array" ref="A39">IFERROR(SMALL(IF('射擊表'!$A$2:$A$500=4,'射擊表'!$B$2:$B$500),38),NA())</f>
      </c>
      <c r="B39">
        <f t="array" ref="B39">IFERROR(INDEX('射擊表'!$C$2:$C$500,MATCH(1,('射擊表'!$A$2:$A$500=4)*('射擊表'!$B$2:$B$500=A39),0)),NA())</f>
      </c>
      <c r="C39">
        <f t="array" ref="C39">IFERROR(INDEX(IF('射擊表'!$E$2:$E$500="us",ABS('射擊表'!$D$2:$D$500-1500)/5,'射擊表'!$D$2:$D$500),MATCH(1,('射擊表'!$A$2:$A$500=4)*('射擊表'!$B$2:$B$500=A39),0)),NA())</f>
      </c>
      <c r="D39">
        <f t="array" ref="D39">IFERROR(SMALL(IF('射擊表'!$A$2:$A$500=5,'射擊表'!$B$2:$B$500),38),NA())</f>
      </c>
      <c r="E39">
        <f t="array" ref="E39">IFERROR(INDEX('射擊表'!$C$2:$C$500,MATCH(1,('射擊表'!$A$2:$A$500=5)*('射擊表'!$B$2:$B$500=D39),0)),NA())</f>
      </c>
      <c r="F39">
        <f t="array" ref="F39">IFERROR(INDEX(IF('射擊表'!$E$2:$E$500="us",ABS('射擊表'!$D$2:$D$500-1500)/5,'射擊表'!$D$2:$D$500),MATCH(1,('射擊表'!$A$2:$A$500=5)*('射擊表'!$B$2:$B$500=D39),0)),NA())</f>
      </c>
      <c r="G39">
        <f t="array" ref="G39">IFERROR(SMALL(IF('射擊表'!$A$2:$A$500=6,'射擊表'!$B$2:$B$500),38),NA())</f>
      </c>
      <c r="H39">
        <f t="array" ref="H39">IFERROR(INDEX('射擊表'!$C$2:$C$500,MATCH(1,('射擊表'!$A$2:$A$500=6)*('射擊表'!$B$2:$B$500=G39),0)),NA())</f>
      </c>
      <c r="I39">
        <f t="array" ref="I39">IFERROR(INDEX(IF('射擊表'!$E$2:$E$500="us",ABS('射擊表'!$D$2:$D$500-1500)/5,'射擊表'!$D$2:$D$500),MATCH(1,('射擊表'!$A$2:$A$500=6)*('射擊表'!$B$2:$B$500=G39),0)),NA())</f>
      </c>
    </row>
    <row r="40">
      <c r="A40">
        <f t="array" ref="A40">IFERROR(SMALL(IF('射擊表'!$A$2:$A$500=4,'射擊表'!$B$2:$B$500),39),NA())</f>
      </c>
      <c r="B40">
        <f t="array" ref="B40">IFERROR(INDEX('射擊表'!$C$2:$C$500,MATCH(1,('射擊表'!$A$2:$A$500=4)*('射擊表'!$B$2:$B$500=A40),0)),NA())</f>
      </c>
      <c r="C40">
        <f t="array" ref="C40">IFERROR(INDEX(IF('射擊表'!$E$2:$E$500="us",ABS('射擊表'!$D$2:$D$500-1500)/5,'射擊表'!$D$2:$D$500),MATCH(1,('射擊表'!$A$2:$A$500=4)*('射擊表'!$B$2:$B$500=A40),0)),NA())</f>
      </c>
      <c r="D40">
        <f t="array" ref="D40">IFERROR(SMALL(IF('射擊表'!$A$2:$A$500=5,'射擊表'!$B$2:$B$500),39),NA())</f>
      </c>
      <c r="E40">
        <f t="array" ref="E40">IFERROR(INDEX('射擊表'!$C$2:$C$500,MATCH(1,('射擊表'!$A$2:$A$500=5)*('射擊表'!$B$2:$B$500=D40),0)),NA())</f>
      </c>
      <c r="F40">
        <f t="array" ref="F40">IFERROR(INDEX(IF('射擊表'!$E$2:$E$500="us",ABS('射擊表'!$D$2:$D$500-1500)/5,'射擊表'!$D$2:$D$500),MATCH(1,('射擊表'!$A$2:$A$500=5)*('射擊表'!$B$2:$B$500=D40),0)),NA())</f>
      </c>
      <c r="G40">
        <f t="array" ref="G40">IFERROR(SMALL(IF('射擊表'!$A$2:$A$500=6,'射擊表'!$B$2:$B$500),39),NA())</f>
      </c>
      <c r="H40">
        <f t="array" ref="H40">IFERROR(INDEX('射擊表'!$C$2:$C$500,MATCH(1,('射擊表'!$A$2:$A$500=6)*('射擊表'!$B$2:$B$500=G40),0)),NA())</f>
      </c>
      <c r="I40">
        <f t="array" ref="I40">IFERROR(INDEX(IF('射擊表'!$E$2:$E$500="us",ABS('射擊表'!$D$2:$D$500-1500)/5,'射擊表'!$D$2:$D$500),MATCH(1,('射擊表'!$A$2:$A$500=6)*('射擊表'!$B$2:$B$500=G40),0)),NA())</f>
      </c>
    </row>
    <row r="41">
      <c r="A41">
        <f t="array" ref="A41">IFERROR(SMALL(IF('射擊表'!$A$2:$A$500=4,'射擊表'!$B$2:$B$500),40),NA())</f>
      </c>
      <c r="B41">
        <f t="array" ref="B41">IFERROR(INDEX('射擊表'!$C$2:$C$500,MATCH(1,('射擊表'!$A$2:$A$500=4)*('射擊表'!$B$2:$B$500=A41),0)),NA())</f>
      </c>
      <c r="C41">
        <f t="array" ref="C41">IFERROR(INDEX(IF('射擊表'!$E$2:$E$500="us",ABS('射擊表'!$D$2:$D$500-1500)/5,'射擊表'!$D$2:$D$500),MATCH(1,('射擊表'!$A$2:$A$500=4)*('射擊表'!$B$2:$B$500=A41),0)),NA())</f>
      </c>
      <c r="D41">
        <f t="array" ref="D41">IFERROR(SMALL(IF('射擊表'!$A$2:$A$500=5,'射擊表'!$B$2:$B$500),40),NA())</f>
      </c>
      <c r="E41">
        <f t="array" ref="E41">IFERROR(INDEX('射擊表'!$C$2:$C$500,MATCH(1,('射擊表'!$A$2:$A$500=5)*('射擊表'!$B$2:$B$500=D41),0)),NA())</f>
      </c>
      <c r="F41">
        <f t="array" ref="F41">IFERROR(INDEX(IF('射擊表'!$E$2:$E$500="us",ABS('射擊表'!$D$2:$D$500-1500)/5,'射擊表'!$D$2:$D$500),MATCH(1,('射擊表'!$A$2:$A$500=5)*('射擊表'!$B$2:$B$500=D41),0)),NA())</f>
      </c>
      <c r="G41">
        <f t="array" ref="G41">IFERROR(SMALL(IF('射擊表'!$A$2:$A$500=6,'射擊表'!$B$2:$B$500),40),NA())</f>
      </c>
      <c r="H41">
        <f t="array" ref="H41">IFERROR(INDEX('射擊表'!$C$2:$C$500,MATCH(1,('射擊表'!$A$2:$A$500=6)*('射擊表'!$B$2:$B$500=G41),0)),NA())</f>
      </c>
      <c r="I41">
        <f t="array" ref="I41">IFERROR(INDEX(IF('射擊表'!$E$2:$E$500="us",ABS('射擊表'!$D$2:$D$500-1500)/5,'射擊表'!$D$2:$D$500),MATCH(1,('射擊表'!$A$2:$A$500=6)*('射擊表'!$B$2:$B$500=G41),0)),NA())</f>
      </c>
    </row>
    <row r="42">
      <c r="A42">
        <f t="array" ref="A42">IFERROR(SMALL(IF('射擊表'!$A$2:$A$500=4,'射擊表'!$B$2:$B$500),41),NA())</f>
      </c>
      <c r="B42">
        <f t="array" ref="B42">IFERROR(INDEX('射擊表'!$C$2:$C$500,MATCH(1,('射擊表'!$A$2:$A$500=4)*('射擊表'!$B$2:$B$500=A42),0)),NA())</f>
      </c>
      <c r="C42">
        <f t="array" ref="C42">IFERROR(INDEX(IF('射擊表'!$E$2:$E$500="us",ABS('射擊表'!$D$2:$D$500-1500)/5,'射擊表'!$D$2:$D$500),MATCH(1,('射擊表'!$A$2:$A$500=4)*('射擊表'!$B$2:$B$500=A42),0)),NA())</f>
      </c>
      <c r="D42">
        <f t="array" ref="D42">IFERROR(SMALL(IF('射擊表'!$A$2:$A$500=5,'射擊表'!$B$2:$B$500),41),NA())</f>
      </c>
      <c r="E42">
        <f t="array" ref="E42">IFERROR(INDEX('射擊表'!$C$2:$C$500,MATCH(1,('射擊表'!$A$2:$A$500=5)*('射擊表'!$B$2:$B$500=D42),0)),NA())</f>
      </c>
      <c r="F42">
        <f t="array" ref="F42">IFERROR(INDEX(IF('射擊表'!$E$2:$E$500="us",ABS('射擊表'!$D$2:$D$500-1500)/5,'射擊表'!$D$2:$D$500),MATCH(1,('射擊表'!$A$2:$A$500=5)*('射擊表'!$B$2:$B$500=D42),0)),NA())</f>
      </c>
      <c r="G42">
        <f t="array" ref="G42">IFERROR(SMALL(IF('射擊表'!$A$2:$A$500=6,'射擊表'!$B$2:$B$500),41),NA())</f>
      </c>
      <c r="H42">
        <f t="array" ref="H42">IFERROR(INDEX('射擊表'!$C$2:$C$500,MATCH(1,('射擊表'!$A$2:$A$500=6)*('射擊表'!$B$2:$B$500=G42),0)),NA())</f>
      </c>
      <c r="I42">
        <f t="array" ref="I42">IFERROR(INDEX(IF('射擊表'!$E$2:$E$500="us",ABS('射擊表'!$D$2:$D$500-1500)/5,'射擊表'!$D$2:$D$500),MATCH(1,('射擊表'!$A$2:$A$500=6)*('射擊表'!$B$2:$B$500=G42),0)),NA())</f>
      </c>
    </row>
    <row r="43">
      <c r="A43">
        <f t="array" ref="A43">IFERROR(SMALL(IF('射擊表'!$A$2:$A$500=4,'射擊表'!$B$2:$B$500),42),NA())</f>
      </c>
      <c r="B43">
        <f t="array" ref="B43">IFERROR(INDEX('射擊表'!$C$2:$C$500,MATCH(1,('射擊表'!$A$2:$A$500=4)*('射擊表'!$B$2:$B$500=A43),0)),NA())</f>
      </c>
      <c r="C43">
        <f t="array" ref="C43">IFERROR(INDEX(IF('射擊表'!$E$2:$E$500="us",ABS('射擊表'!$D$2:$D$500-1500)/5,'射擊表'!$D$2:$D$500),MATCH(1,('射擊表'!$A$2:$A$500=4)*('射擊表'!$B$2:$B$500=A43),0)),NA())</f>
      </c>
      <c r="D43">
        <f t="array" ref="D43">IFERROR(SMALL(IF('射擊表'!$A$2:$A$500=5,'射擊表'!$B$2:$B$500),42),NA())</f>
      </c>
      <c r="E43">
        <f t="array" ref="E43">IFERROR(INDEX('射擊表'!$C$2:$C$500,MATCH(1,('射擊表'!$A$2:$A$500=5)*('射擊表'!$B$2:$B$500=D43),0)),NA())</f>
      </c>
      <c r="F43">
        <f t="array" ref="F43">IFERROR(INDEX(IF('射擊表'!$E$2:$E$500="us",ABS('射擊表'!$D$2:$D$500-1500)/5,'射擊表'!$D$2:$D$500),MATCH(1,('射擊表'!$A$2:$A$500=5)*('射擊表'!$B$2:$B$500=D43),0)),NA())</f>
      </c>
      <c r="G43">
        <f t="array" ref="G43">IFERROR(SMALL(IF('射擊表'!$A$2:$A$500=6,'射擊表'!$B$2:$B$500),42),NA())</f>
      </c>
      <c r="H43">
        <f t="array" ref="H43">IFERROR(INDEX('射擊表'!$C$2:$C$500,MATCH(1,('射擊表'!$A$2:$A$500=6)*('射擊表'!$B$2:$B$500=G43),0)),NA())</f>
      </c>
      <c r="I43">
        <f t="array" ref="I43">IFERROR(INDEX(IF('射擊表'!$E$2:$E$500="us",ABS('射擊表'!$D$2:$D$500-1500)/5,'射擊表'!$D$2:$D$500),MATCH(1,('射擊表'!$A$2:$A$500=6)*('射擊表'!$B$2:$B$500=G43),0)),NA())</f>
      </c>
    </row>
    <row r="44">
      <c r="A44">
        <f t="array" ref="A44">IFERROR(SMALL(IF('射擊表'!$A$2:$A$500=4,'射擊表'!$B$2:$B$500),43),NA())</f>
      </c>
      <c r="B44">
        <f t="array" ref="B44">IFERROR(INDEX('射擊表'!$C$2:$C$500,MATCH(1,('射擊表'!$A$2:$A$500=4)*('射擊表'!$B$2:$B$500=A44),0)),NA())</f>
      </c>
      <c r="C44">
        <f t="array" ref="C44">IFERROR(INDEX(IF('射擊表'!$E$2:$E$500="us",ABS('射擊表'!$D$2:$D$500-1500)/5,'射擊表'!$D$2:$D$500),MATCH(1,('射擊表'!$A$2:$A$500=4)*('射擊表'!$B$2:$B$500=A44),0)),NA())</f>
      </c>
      <c r="D44">
        <f t="array" ref="D44">IFERROR(SMALL(IF('射擊表'!$A$2:$A$500=5,'射擊表'!$B$2:$B$500),43),NA())</f>
      </c>
      <c r="E44">
        <f t="array" ref="E44">IFERROR(INDEX('射擊表'!$C$2:$C$500,MATCH(1,('射擊表'!$A$2:$A$500=5)*('射擊表'!$B$2:$B$500=D44),0)),NA())</f>
      </c>
      <c r="F44">
        <f t="array" ref="F44">IFERROR(INDEX(IF('射擊表'!$E$2:$E$500="us",ABS('射擊表'!$D$2:$D$500-1500)/5,'射擊表'!$D$2:$D$500),MATCH(1,('射擊表'!$A$2:$A$500=5)*('射擊表'!$B$2:$B$500=D44),0)),NA())</f>
      </c>
      <c r="G44">
        <f t="array" ref="G44">IFERROR(SMALL(IF('射擊表'!$A$2:$A$500=6,'射擊表'!$B$2:$B$500),43),NA())</f>
      </c>
      <c r="H44">
        <f t="array" ref="H44">IFERROR(INDEX('射擊表'!$C$2:$C$500,MATCH(1,('射擊表'!$A$2:$A$500=6)*('射擊表'!$B$2:$B$500=G44),0)),NA())</f>
      </c>
      <c r="I44">
        <f t="array" ref="I44">IFERROR(INDEX(IF('射擊表'!$E$2:$E$500="us",ABS('射擊表'!$D$2:$D$500-1500)/5,'射擊表'!$D$2:$D$500),MATCH(1,('射擊表'!$A$2:$A$500=6)*('射擊表'!$B$2:$B$500=G44),0)),NA())</f>
      </c>
    </row>
    <row r="45">
      <c r="A45">
        <f t="array" ref="A45">IFERROR(SMALL(IF('射擊表'!$A$2:$A$500=4,'射擊表'!$B$2:$B$500),44),NA())</f>
      </c>
      <c r="B45">
        <f t="array" ref="B45">IFERROR(INDEX('射擊表'!$C$2:$C$500,MATCH(1,('射擊表'!$A$2:$A$500=4)*('射擊表'!$B$2:$B$500=A45),0)),NA())</f>
      </c>
      <c r="C45">
        <f t="array" ref="C45">IFERROR(INDEX(IF('射擊表'!$E$2:$E$500="us",ABS('射擊表'!$D$2:$D$500-1500)/5,'射擊表'!$D$2:$D$500),MATCH(1,('射擊表'!$A$2:$A$500=4)*('射擊表'!$B$2:$B$500=A45),0)),NA())</f>
      </c>
      <c r="D45">
        <f t="array" ref="D45">IFERROR(SMALL(IF('射擊表'!$A$2:$A$500=5,'射擊表'!$B$2:$B$500),44),NA())</f>
      </c>
      <c r="E45">
        <f t="array" ref="E45">IFERROR(INDEX('射擊表'!$C$2:$C$500,MATCH(1,('射擊表'!$A$2:$A$500=5)*('射擊表'!$B$2:$B$500=D45),0)),NA())</f>
      </c>
      <c r="F45">
        <f t="array" ref="F45">IFERROR(INDEX(IF('射擊表'!$E$2:$E$500="us",ABS('射擊表'!$D$2:$D$500-1500)/5,'射擊表'!$D$2:$D$500),MATCH(1,('射擊表'!$A$2:$A$500=5)*('射擊表'!$B$2:$B$500=D45),0)),NA())</f>
      </c>
      <c r="G45">
        <f t="array" ref="G45">IFERROR(SMALL(IF('射擊表'!$A$2:$A$500=6,'射擊表'!$B$2:$B$500),44),NA())</f>
      </c>
      <c r="H45">
        <f t="array" ref="H45">IFERROR(INDEX('射擊表'!$C$2:$C$500,MATCH(1,('射擊表'!$A$2:$A$500=6)*('射擊表'!$B$2:$B$500=G45),0)),NA())</f>
      </c>
      <c r="I45">
        <f t="array" ref="I45">IFERROR(INDEX(IF('射擊表'!$E$2:$E$500="us",ABS('射擊表'!$D$2:$D$500-1500)/5,'射擊表'!$D$2:$D$500),MATCH(1,('射擊表'!$A$2:$A$500=6)*('射擊表'!$B$2:$B$500=G45),0)),NA())</f>
      </c>
    </row>
    <row r="46">
      <c r="A46">
        <f t="array" ref="A46">IFERROR(SMALL(IF('射擊表'!$A$2:$A$500=4,'射擊表'!$B$2:$B$500),45),NA())</f>
      </c>
      <c r="B46">
        <f t="array" ref="B46">IFERROR(INDEX('射擊表'!$C$2:$C$500,MATCH(1,('射擊表'!$A$2:$A$500=4)*('射擊表'!$B$2:$B$500=A46),0)),NA())</f>
      </c>
      <c r="C46">
        <f t="array" ref="C46">IFERROR(INDEX(IF('射擊表'!$E$2:$E$500="us",ABS('射擊表'!$D$2:$D$500-1500)/5,'射擊表'!$D$2:$D$500),MATCH(1,('射擊表'!$A$2:$A$500=4)*('射擊表'!$B$2:$B$500=A46),0)),NA())</f>
      </c>
      <c r="D46">
        <f t="array" ref="D46">IFERROR(SMALL(IF('射擊表'!$A$2:$A$500=5,'射擊表'!$B$2:$B$500),45),NA())</f>
      </c>
      <c r="E46">
        <f t="array" ref="E46">IFERROR(INDEX('射擊表'!$C$2:$C$500,MATCH(1,('射擊表'!$A$2:$A$500=5)*('射擊表'!$B$2:$B$500=D46),0)),NA())</f>
      </c>
      <c r="F46">
        <f t="array" ref="F46">IFERROR(INDEX(IF('射擊表'!$E$2:$E$500="us",ABS('射擊表'!$D$2:$D$500-1500)/5,'射擊表'!$D$2:$D$500),MATCH(1,('射擊表'!$A$2:$A$500=5)*('射擊表'!$B$2:$B$500=D46),0)),NA())</f>
      </c>
      <c r="G46">
        <f t="array" ref="G46">IFERROR(SMALL(IF('射擊表'!$A$2:$A$500=6,'射擊表'!$B$2:$B$500),45),NA())</f>
      </c>
      <c r="H46">
        <f t="array" ref="H46">IFERROR(INDEX('射擊表'!$C$2:$C$500,MATCH(1,('射擊表'!$A$2:$A$500=6)*('射擊表'!$B$2:$B$500=G46),0)),NA())</f>
      </c>
      <c r="I46">
        <f t="array" ref="I46">IFERROR(INDEX(IF('射擊表'!$E$2:$E$500="us",ABS('射擊表'!$D$2:$D$500-1500)/5,'射擊表'!$D$2:$D$500),MATCH(1,('射擊表'!$A$2:$A$500=6)*('射擊表'!$B$2:$B$500=G46),0)),NA())</f>
      </c>
    </row>
    <row r="47">
      <c r="A47">
        <f t="array" ref="A47">IFERROR(SMALL(IF('射擊表'!$A$2:$A$500=4,'射擊表'!$B$2:$B$500),46),NA())</f>
      </c>
      <c r="B47">
        <f t="array" ref="B47">IFERROR(INDEX('射擊表'!$C$2:$C$500,MATCH(1,('射擊表'!$A$2:$A$500=4)*('射擊表'!$B$2:$B$500=A47),0)),NA())</f>
      </c>
      <c r="C47">
        <f t="array" ref="C47">IFERROR(INDEX(IF('射擊表'!$E$2:$E$500="us",ABS('射擊表'!$D$2:$D$500-1500)/5,'射擊表'!$D$2:$D$500),MATCH(1,('射擊表'!$A$2:$A$500=4)*('射擊表'!$B$2:$B$500=A47),0)),NA())</f>
      </c>
      <c r="D47">
        <f t="array" ref="D47">IFERROR(SMALL(IF('射擊表'!$A$2:$A$500=5,'射擊表'!$B$2:$B$500),46),NA())</f>
      </c>
      <c r="E47">
        <f t="array" ref="E47">IFERROR(INDEX('射擊表'!$C$2:$C$500,MATCH(1,('射擊表'!$A$2:$A$500=5)*('射擊表'!$B$2:$B$500=D47),0)),NA())</f>
      </c>
      <c r="F47">
        <f t="array" ref="F47">IFERROR(INDEX(IF('射擊表'!$E$2:$E$500="us",ABS('射擊表'!$D$2:$D$500-1500)/5,'射擊表'!$D$2:$D$500),MATCH(1,('射擊表'!$A$2:$A$500=5)*('射擊表'!$B$2:$B$500=D47),0)),NA())</f>
      </c>
      <c r="G47">
        <f t="array" ref="G47">IFERROR(SMALL(IF('射擊表'!$A$2:$A$500=6,'射擊表'!$B$2:$B$500),46),NA())</f>
      </c>
      <c r="H47">
        <f t="array" ref="H47">IFERROR(INDEX('射擊表'!$C$2:$C$500,MATCH(1,('射擊表'!$A$2:$A$500=6)*('射擊表'!$B$2:$B$500=G47),0)),NA())</f>
      </c>
      <c r="I47">
        <f t="array" ref="I47">IFERROR(INDEX(IF('射擊表'!$E$2:$E$500="us",ABS('射擊表'!$D$2:$D$500-1500)/5,'射擊表'!$D$2:$D$500),MATCH(1,('射擊表'!$A$2:$A$500=6)*('射擊表'!$B$2:$B$500=G47),0)),NA())</f>
      </c>
    </row>
    <row r="48">
      <c r="A48">
        <f t="array" ref="A48">IFERROR(SMALL(IF('射擊表'!$A$2:$A$500=4,'射擊表'!$B$2:$B$500),47),NA())</f>
      </c>
      <c r="B48">
        <f t="array" ref="B48">IFERROR(INDEX('射擊表'!$C$2:$C$500,MATCH(1,('射擊表'!$A$2:$A$500=4)*('射擊表'!$B$2:$B$500=A48),0)),NA())</f>
      </c>
      <c r="C48">
        <f t="array" ref="C48">IFERROR(INDEX(IF('射擊表'!$E$2:$E$500="us",ABS('射擊表'!$D$2:$D$500-1500)/5,'射擊表'!$D$2:$D$500),MATCH(1,('射擊表'!$A$2:$A$500=4)*('射擊表'!$B$2:$B$500=A48),0)),NA())</f>
      </c>
      <c r="D48">
        <f t="array" ref="D48">IFERROR(SMALL(IF('射擊表'!$A$2:$A$500=5,'射擊表'!$B$2:$B$500),47),NA())</f>
      </c>
      <c r="E48">
        <f t="array" ref="E48">IFERROR(INDEX('射擊表'!$C$2:$C$500,MATCH(1,('射擊表'!$A$2:$A$500=5)*('射擊表'!$B$2:$B$500=D48),0)),NA())</f>
      </c>
      <c r="F48">
        <f t="array" ref="F48">IFERROR(INDEX(IF('射擊表'!$E$2:$E$500="us",ABS('射擊表'!$D$2:$D$500-1500)/5,'射擊表'!$D$2:$D$500),MATCH(1,('射擊表'!$A$2:$A$500=5)*('射擊表'!$B$2:$B$500=D48),0)),NA())</f>
      </c>
      <c r="G48">
        <f t="array" ref="G48">IFERROR(SMALL(IF('射擊表'!$A$2:$A$500=6,'射擊表'!$B$2:$B$500),47),NA())</f>
      </c>
      <c r="H48">
        <f t="array" ref="H48">IFERROR(INDEX('射擊表'!$C$2:$C$500,MATCH(1,('射擊表'!$A$2:$A$500=6)*('射擊表'!$B$2:$B$500=G48),0)),NA())</f>
      </c>
      <c r="I48">
        <f t="array" ref="I48">IFERROR(INDEX(IF('射擊表'!$E$2:$E$500="us",ABS('射擊表'!$D$2:$D$500-1500)/5,'射擊表'!$D$2:$D$500),MATCH(1,('射擊表'!$A$2:$A$500=6)*('射擊表'!$B$2:$B$500=G48),0)),NA())</f>
      </c>
    </row>
    <row r="49">
      <c r="A49">
        <f t="array" ref="A49">IFERROR(SMALL(IF('射擊表'!$A$2:$A$500=4,'射擊表'!$B$2:$B$500),48),NA())</f>
      </c>
      <c r="B49">
        <f t="array" ref="B49">IFERROR(INDEX('射擊表'!$C$2:$C$500,MATCH(1,('射擊表'!$A$2:$A$500=4)*('射擊表'!$B$2:$B$500=A49),0)),NA())</f>
      </c>
      <c r="C49">
        <f t="array" ref="C49">IFERROR(INDEX(IF('射擊表'!$E$2:$E$500="us",ABS('射擊表'!$D$2:$D$500-1500)/5,'射擊表'!$D$2:$D$500),MATCH(1,('射擊表'!$A$2:$A$500=4)*('射擊表'!$B$2:$B$500=A49),0)),NA())</f>
      </c>
      <c r="D49">
        <f t="array" ref="D49">IFERROR(SMALL(IF('射擊表'!$A$2:$A$500=5,'射擊表'!$B$2:$B$500),48),NA())</f>
      </c>
      <c r="E49">
        <f t="array" ref="E49">IFERROR(INDEX('射擊表'!$C$2:$C$500,MATCH(1,('射擊表'!$A$2:$A$500=5)*('射擊表'!$B$2:$B$500=D49),0)),NA())</f>
      </c>
      <c r="F49">
        <f t="array" ref="F49">IFERROR(INDEX(IF('射擊表'!$E$2:$E$500="us",ABS('射擊表'!$D$2:$D$500-1500)/5,'射擊表'!$D$2:$D$500),MATCH(1,('射擊表'!$A$2:$A$500=5)*('射擊表'!$B$2:$B$500=D49),0)),NA())</f>
      </c>
      <c r="G49">
        <f t="array" ref="G49">IFERROR(SMALL(IF('射擊表'!$A$2:$A$500=6,'射擊表'!$B$2:$B$500),48),NA())</f>
      </c>
      <c r="H49">
        <f t="array" ref="H49">IFERROR(INDEX('射擊表'!$C$2:$C$500,MATCH(1,('射擊表'!$A$2:$A$500=6)*('射擊表'!$B$2:$B$500=G49),0)),NA())</f>
      </c>
      <c r="I49">
        <f t="array" ref="I49">IFERROR(INDEX(IF('射擊表'!$E$2:$E$500="us",ABS('射擊表'!$D$2:$D$500-1500)/5,'射擊表'!$D$2:$D$500),MATCH(1,('射擊表'!$A$2:$A$500=6)*('射擊表'!$B$2:$B$500=G49),0)),NA())</f>
      </c>
    </row>
    <row r="50">
      <c r="A50">
        <f t="array" ref="A50">IFERROR(SMALL(IF('射擊表'!$A$2:$A$500=4,'射擊表'!$B$2:$B$500),49),NA())</f>
      </c>
      <c r="B50">
        <f t="array" ref="B50">IFERROR(INDEX('射擊表'!$C$2:$C$500,MATCH(1,('射擊表'!$A$2:$A$500=4)*('射擊表'!$B$2:$B$500=A50),0)),NA())</f>
      </c>
      <c r="C50">
        <f t="array" ref="C50">IFERROR(INDEX(IF('射擊表'!$E$2:$E$500="us",ABS('射擊表'!$D$2:$D$500-1500)/5,'射擊表'!$D$2:$D$500),MATCH(1,('射擊表'!$A$2:$A$500=4)*('射擊表'!$B$2:$B$500=A50),0)),NA())</f>
      </c>
      <c r="D50">
        <f t="array" ref="D50">IFERROR(SMALL(IF('射擊表'!$A$2:$A$500=5,'射擊表'!$B$2:$B$500),49),NA())</f>
      </c>
      <c r="E50">
        <f t="array" ref="E50">IFERROR(INDEX('射擊表'!$C$2:$C$500,MATCH(1,('射擊表'!$A$2:$A$500=5)*('射擊表'!$B$2:$B$500=D50),0)),NA())</f>
      </c>
      <c r="F50">
        <f t="array" ref="F50">IFERROR(INDEX(IF('射擊表'!$E$2:$E$500="us",ABS('射擊表'!$D$2:$D$500-1500)/5,'射擊表'!$D$2:$D$500),MATCH(1,('射擊表'!$A$2:$A$500=5)*('射擊表'!$B$2:$B$500=D50),0)),NA())</f>
      </c>
      <c r="G50">
        <f t="array" ref="G50">IFERROR(SMALL(IF('射擊表'!$A$2:$A$500=6,'射擊表'!$B$2:$B$500),49),NA())</f>
      </c>
      <c r="H50">
        <f t="array" ref="H50">IFERROR(INDEX('射擊表'!$C$2:$C$500,MATCH(1,('射擊表'!$A$2:$A$500=6)*('射擊表'!$B$2:$B$500=G50),0)),NA())</f>
      </c>
      <c r="I50">
        <f t="array" ref="I50">IFERROR(INDEX(IF('射擊表'!$E$2:$E$500="us",ABS('射擊表'!$D$2:$D$500-1500)/5,'射擊表'!$D$2:$D$500),MATCH(1,('射擊表'!$A$2:$A$500=6)*('射擊表'!$B$2:$B$500=G50),0)),NA())</f>
      </c>
    </row>
    <row r="51">
      <c r="A51">
        <f t="array" ref="A51">IFERROR(SMALL(IF('射擊表'!$A$2:$A$500=4,'射擊表'!$B$2:$B$500),50),NA())</f>
      </c>
      <c r="B51">
        <f t="array" ref="B51">IFERROR(INDEX('射擊表'!$C$2:$C$500,MATCH(1,('射擊表'!$A$2:$A$500=4)*('射擊表'!$B$2:$B$500=A51),0)),NA())</f>
      </c>
      <c r="C51">
        <f t="array" ref="C51">IFERROR(INDEX(IF('射擊表'!$E$2:$E$500="us",ABS('射擊表'!$D$2:$D$500-1500)/5,'射擊表'!$D$2:$D$500),MATCH(1,('射擊表'!$A$2:$A$500=4)*('射擊表'!$B$2:$B$500=A51),0)),NA())</f>
      </c>
      <c r="D51">
        <f t="array" ref="D51">IFERROR(SMALL(IF('射擊表'!$A$2:$A$500=5,'射擊表'!$B$2:$B$500),50),NA())</f>
      </c>
      <c r="E51">
        <f t="array" ref="E51">IFERROR(INDEX('射擊表'!$C$2:$C$500,MATCH(1,('射擊表'!$A$2:$A$500=5)*('射擊表'!$B$2:$B$500=D51),0)),NA())</f>
      </c>
      <c r="F51">
        <f t="array" ref="F51">IFERROR(INDEX(IF('射擊表'!$E$2:$E$500="us",ABS('射擊表'!$D$2:$D$500-1500)/5,'射擊表'!$D$2:$D$500),MATCH(1,('射擊表'!$A$2:$A$500=5)*('射擊表'!$B$2:$B$500=D51),0)),NA())</f>
      </c>
      <c r="G51">
        <f t="array" ref="G51">IFERROR(SMALL(IF('射擊表'!$A$2:$A$500=6,'射擊表'!$B$2:$B$500),50),NA())</f>
      </c>
      <c r="H51">
        <f t="array" ref="H51">IFERROR(INDEX('射擊表'!$C$2:$C$500,MATCH(1,('射擊表'!$A$2:$A$500=6)*('射擊表'!$B$2:$B$500=G51),0)),NA())</f>
      </c>
      <c r="I51">
        <f t="array" ref="I51">IFERROR(INDEX(IF('射擊表'!$E$2:$E$500="us",ABS('射擊表'!$D$2:$D$500-1500)/5,'射擊表'!$D$2:$D$500),MATCH(1,('射擊表'!$A$2:$A$500=6)*('射擊表'!$B$2:$B$500=G51),0)),NA())</f>
      </c>
    </row>
    <row r="52">
      <c r="A52">
        <f t="array" ref="A52">IFERROR(SMALL(IF('射擊表'!$A$2:$A$500=4,'射擊表'!$B$2:$B$500),51),NA())</f>
      </c>
      <c r="B52">
        <f t="array" ref="B52">IFERROR(INDEX('射擊表'!$C$2:$C$500,MATCH(1,('射擊表'!$A$2:$A$500=4)*('射擊表'!$B$2:$B$500=A52),0)),NA())</f>
      </c>
      <c r="C52">
        <f t="array" ref="C52">IFERROR(INDEX(IF('射擊表'!$E$2:$E$500="us",ABS('射擊表'!$D$2:$D$500-1500)/5,'射擊表'!$D$2:$D$500),MATCH(1,('射擊表'!$A$2:$A$500=4)*('射擊表'!$B$2:$B$500=A52),0)),NA())</f>
      </c>
      <c r="D52">
        <f t="array" ref="D52">IFERROR(SMALL(IF('射擊表'!$A$2:$A$500=5,'射擊表'!$B$2:$B$500),51),NA())</f>
      </c>
      <c r="E52">
        <f t="array" ref="E52">IFERROR(INDEX('射擊表'!$C$2:$C$500,MATCH(1,('射擊表'!$A$2:$A$500=5)*('射擊表'!$B$2:$B$500=D52),0)),NA())</f>
      </c>
      <c r="F52">
        <f t="array" ref="F52">IFERROR(INDEX(IF('射擊表'!$E$2:$E$500="us",ABS('射擊表'!$D$2:$D$500-1500)/5,'射擊表'!$D$2:$D$500),MATCH(1,('射擊表'!$A$2:$A$500=5)*('射擊表'!$B$2:$B$500=D52),0)),NA())</f>
      </c>
      <c r="G52">
        <f t="array" ref="G52">IFERROR(SMALL(IF('射擊表'!$A$2:$A$500=6,'射擊表'!$B$2:$B$500),51),NA())</f>
      </c>
      <c r="H52">
        <f t="array" ref="H52">IFERROR(INDEX('射擊表'!$C$2:$C$500,MATCH(1,('射擊表'!$A$2:$A$500=6)*('射擊表'!$B$2:$B$500=G52),0)),NA())</f>
      </c>
      <c r="I52">
        <f t="array" ref="I52">IFERROR(INDEX(IF('射擊表'!$E$2:$E$500="us",ABS('射擊表'!$D$2:$D$500-1500)/5,'射擊表'!$D$2:$D$500),MATCH(1,('射擊表'!$A$2:$A$500=6)*('射擊表'!$B$2:$B$500=G52),0)),NA())</f>
      </c>
    </row>
    <row r="53">
      <c r="A53">
        <f t="array" ref="A53">IFERROR(SMALL(IF('射擊表'!$A$2:$A$500=4,'射擊表'!$B$2:$B$500),52),NA())</f>
      </c>
      <c r="B53">
        <f t="array" ref="B53">IFERROR(INDEX('射擊表'!$C$2:$C$500,MATCH(1,('射擊表'!$A$2:$A$500=4)*('射擊表'!$B$2:$B$500=A53),0)),NA())</f>
      </c>
      <c r="C53">
        <f t="array" ref="C53">IFERROR(INDEX(IF('射擊表'!$E$2:$E$500="us",ABS('射擊表'!$D$2:$D$500-1500)/5,'射擊表'!$D$2:$D$500),MATCH(1,('射擊表'!$A$2:$A$500=4)*('射擊表'!$B$2:$B$500=A53),0)),NA())</f>
      </c>
      <c r="D53">
        <f t="array" ref="D53">IFERROR(SMALL(IF('射擊表'!$A$2:$A$500=5,'射擊表'!$B$2:$B$500),52),NA())</f>
      </c>
      <c r="E53">
        <f t="array" ref="E53">IFERROR(INDEX('射擊表'!$C$2:$C$500,MATCH(1,('射擊表'!$A$2:$A$500=5)*('射擊表'!$B$2:$B$500=D53),0)),NA())</f>
      </c>
      <c r="F53">
        <f t="array" ref="F53">IFERROR(INDEX(IF('射擊表'!$E$2:$E$500="us",ABS('射擊表'!$D$2:$D$500-1500)/5,'射擊表'!$D$2:$D$500),MATCH(1,('射擊表'!$A$2:$A$500=5)*('射擊表'!$B$2:$B$500=D53),0)),NA())</f>
      </c>
      <c r="G53">
        <f t="array" ref="G53">IFERROR(SMALL(IF('射擊表'!$A$2:$A$500=6,'射擊表'!$B$2:$B$500),52),NA())</f>
      </c>
      <c r="H53">
        <f t="array" ref="H53">IFERROR(INDEX('射擊表'!$C$2:$C$500,MATCH(1,('射擊表'!$A$2:$A$500=6)*('射擊表'!$B$2:$B$500=G53),0)),NA())</f>
      </c>
      <c r="I53">
        <f t="array" ref="I53">IFERROR(INDEX(IF('射擊表'!$E$2:$E$500="us",ABS('射擊表'!$D$2:$D$500-1500)/5,'射擊表'!$D$2:$D$500),MATCH(1,('射擊表'!$A$2:$A$500=6)*('射擊表'!$B$2:$B$500=G53),0)),NA())</f>
      </c>
    </row>
    <row r="54">
      <c r="A54">
        <f t="array" ref="A54">IFERROR(SMALL(IF('射擊表'!$A$2:$A$500=4,'射擊表'!$B$2:$B$500),53),NA())</f>
      </c>
      <c r="B54">
        <f t="array" ref="B54">IFERROR(INDEX('射擊表'!$C$2:$C$500,MATCH(1,('射擊表'!$A$2:$A$500=4)*('射擊表'!$B$2:$B$500=A54),0)),NA())</f>
      </c>
      <c r="C54">
        <f t="array" ref="C54">IFERROR(INDEX(IF('射擊表'!$E$2:$E$500="us",ABS('射擊表'!$D$2:$D$500-1500)/5,'射擊表'!$D$2:$D$500),MATCH(1,('射擊表'!$A$2:$A$500=4)*('射擊表'!$B$2:$B$500=A54),0)),NA())</f>
      </c>
      <c r="D54">
        <f t="array" ref="D54">IFERROR(SMALL(IF('射擊表'!$A$2:$A$500=5,'射擊表'!$B$2:$B$500),53),NA())</f>
      </c>
      <c r="E54">
        <f t="array" ref="E54">IFERROR(INDEX('射擊表'!$C$2:$C$500,MATCH(1,('射擊表'!$A$2:$A$500=5)*('射擊表'!$B$2:$B$500=D54),0)),NA())</f>
      </c>
      <c r="F54">
        <f t="array" ref="F54">IFERROR(INDEX(IF('射擊表'!$E$2:$E$500="us",ABS('射擊表'!$D$2:$D$500-1500)/5,'射擊表'!$D$2:$D$500),MATCH(1,('射擊表'!$A$2:$A$500=5)*('射擊表'!$B$2:$B$500=D54),0)),NA())</f>
      </c>
      <c r="G54">
        <f t="array" ref="G54">IFERROR(SMALL(IF('射擊表'!$A$2:$A$500=6,'射擊表'!$B$2:$B$500),53),NA())</f>
      </c>
      <c r="H54">
        <f t="array" ref="H54">IFERROR(INDEX('射擊表'!$C$2:$C$500,MATCH(1,('射擊表'!$A$2:$A$500=6)*('射擊表'!$B$2:$B$500=G54),0)),NA())</f>
      </c>
      <c r="I54">
        <f t="array" ref="I54">IFERROR(INDEX(IF('射擊表'!$E$2:$E$500="us",ABS('射擊表'!$D$2:$D$500-1500)/5,'射擊表'!$D$2:$D$500),MATCH(1,('射擊表'!$A$2:$A$500=6)*('射擊表'!$B$2:$B$500=G54),0)),NA())</f>
      </c>
    </row>
    <row r="55">
      <c r="A55">
        <f t="array" ref="A55">IFERROR(SMALL(IF('射擊表'!$A$2:$A$500=4,'射擊表'!$B$2:$B$500),54),NA())</f>
      </c>
      <c r="B55">
        <f t="array" ref="B55">IFERROR(INDEX('射擊表'!$C$2:$C$500,MATCH(1,('射擊表'!$A$2:$A$500=4)*('射擊表'!$B$2:$B$500=A55),0)),NA())</f>
      </c>
      <c r="C55">
        <f t="array" ref="C55">IFERROR(INDEX(IF('射擊表'!$E$2:$E$500="us",ABS('射擊表'!$D$2:$D$500-1500)/5,'射擊表'!$D$2:$D$500),MATCH(1,('射擊表'!$A$2:$A$500=4)*('射擊表'!$B$2:$B$500=A55),0)),NA())</f>
      </c>
      <c r="D55">
        <f t="array" ref="D55">IFERROR(SMALL(IF('射擊表'!$A$2:$A$500=5,'射擊表'!$B$2:$B$500),54),NA())</f>
      </c>
      <c r="E55">
        <f t="array" ref="E55">IFERROR(INDEX('射擊表'!$C$2:$C$500,MATCH(1,('射擊表'!$A$2:$A$500=5)*('射擊表'!$B$2:$B$500=D55),0)),NA())</f>
      </c>
      <c r="F55">
        <f t="array" ref="F55">IFERROR(INDEX(IF('射擊表'!$E$2:$E$500="us",ABS('射擊表'!$D$2:$D$500-1500)/5,'射擊表'!$D$2:$D$500),MATCH(1,('射擊表'!$A$2:$A$500=5)*('射擊表'!$B$2:$B$500=D55),0)),NA())</f>
      </c>
      <c r="G55">
        <f t="array" ref="G55">IFERROR(SMALL(IF('射擊表'!$A$2:$A$500=6,'射擊表'!$B$2:$B$500),54),NA())</f>
      </c>
      <c r="H55">
        <f t="array" ref="H55">IFERROR(INDEX('射擊表'!$C$2:$C$500,MATCH(1,('射擊表'!$A$2:$A$500=6)*('射擊表'!$B$2:$B$500=G55),0)),NA())</f>
      </c>
      <c r="I55">
        <f t="array" ref="I55">IFERROR(INDEX(IF('射擊表'!$E$2:$E$500="us",ABS('射擊表'!$D$2:$D$500-1500)/5,'射擊表'!$D$2:$D$500),MATCH(1,('射擊表'!$A$2:$A$500=6)*('射擊表'!$B$2:$B$500=G55),0)),NA())</f>
      </c>
    </row>
    <row r="56">
      <c r="A56">
        <f t="array" ref="A56">IFERROR(SMALL(IF('射擊表'!$A$2:$A$500=4,'射擊表'!$B$2:$B$500),55),NA())</f>
      </c>
      <c r="B56">
        <f t="array" ref="B56">IFERROR(INDEX('射擊表'!$C$2:$C$500,MATCH(1,('射擊表'!$A$2:$A$500=4)*('射擊表'!$B$2:$B$500=A56),0)),NA())</f>
      </c>
      <c r="C56">
        <f t="array" ref="C56">IFERROR(INDEX(IF('射擊表'!$E$2:$E$500="us",ABS('射擊表'!$D$2:$D$500-1500)/5,'射擊表'!$D$2:$D$500),MATCH(1,('射擊表'!$A$2:$A$500=4)*('射擊表'!$B$2:$B$500=A56),0)),NA())</f>
      </c>
      <c r="D56">
        <f t="array" ref="D56">IFERROR(SMALL(IF('射擊表'!$A$2:$A$500=5,'射擊表'!$B$2:$B$500),55),NA())</f>
      </c>
      <c r="E56">
        <f t="array" ref="E56">IFERROR(INDEX('射擊表'!$C$2:$C$500,MATCH(1,('射擊表'!$A$2:$A$500=5)*('射擊表'!$B$2:$B$500=D56),0)),NA())</f>
      </c>
      <c r="F56">
        <f t="array" ref="F56">IFERROR(INDEX(IF('射擊表'!$E$2:$E$500="us",ABS('射擊表'!$D$2:$D$500-1500)/5,'射擊表'!$D$2:$D$500),MATCH(1,('射擊表'!$A$2:$A$500=5)*('射擊表'!$B$2:$B$500=D56),0)),NA())</f>
      </c>
      <c r="G56">
        <f t="array" ref="G56">IFERROR(SMALL(IF('射擊表'!$A$2:$A$500=6,'射擊表'!$B$2:$B$500),55),NA())</f>
      </c>
      <c r="H56">
        <f t="array" ref="H56">IFERROR(INDEX('射擊表'!$C$2:$C$500,MATCH(1,('射擊表'!$A$2:$A$500=6)*('射擊表'!$B$2:$B$500=G56),0)),NA())</f>
      </c>
      <c r="I56">
        <f t="array" ref="I56">IFERROR(INDEX(IF('射擊表'!$E$2:$E$500="us",ABS('射擊表'!$D$2:$D$500-1500)/5,'射擊表'!$D$2:$D$500),MATCH(1,('射擊表'!$A$2:$A$500=6)*('射擊表'!$B$2:$B$500=G56),0)),NA())</f>
      </c>
    </row>
    <row r="57">
      <c r="A57">
        <f t="array" ref="A57">IFERROR(SMALL(IF('射擊表'!$A$2:$A$500=4,'射擊表'!$B$2:$B$500),56),NA())</f>
      </c>
      <c r="B57">
        <f t="array" ref="B57">IFERROR(INDEX('射擊表'!$C$2:$C$500,MATCH(1,('射擊表'!$A$2:$A$500=4)*('射擊表'!$B$2:$B$500=A57),0)),NA())</f>
      </c>
      <c r="C57">
        <f t="array" ref="C57">IFERROR(INDEX(IF('射擊表'!$E$2:$E$500="us",ABS('射擊表'!$D$2:$D$500-1500)/5,'射擊表'!$D$2:$D$500),MATCH(1,('射擊表'!$A$2:$A$500=4)*('射擊表'!$B$2:$B$500=A57),0)),NA())</f>
      </c>
      <c r="D57">
        <f t="array" ref="D57">IFERROR(SMALL(IF('射擊表'!$A$2:$A$500=5,'射擊表'!$B$2:$B$500),56),NA())</f>
      </c>
      <c r="E57">
        <f t="array" ref="E57">IFERROR(INDEX('射擊表'!$C$2:$C$500,MATCH(1,('射擊表'!$A$2:$A$500=5)*('射擊表'!$B$2:$B$500=D57),0)),NA())</f>
      </c>
      <c r="F57">
        <f t="array" ref="F57">IFERROR(INDEX(IF('射擊表'!$E$2:$E$500="us",ABS('射擊表'!$D$2:$D$500-1500)/5,'射擊表'!$D$2:$D$500),MATCH(1,('射擊表'!$A$2:$A$500=5)*('射擊表'!$B$2:$B$500=D57),0)),NA())</f>
      </c>
      <c r="G57">
        <f t="array" ref="G57">IFERROR(SMALL(IF('射擊表'!$A$2:$A$500=6,'射擊表'!$B$2:$B$500),56),NA())</f>
      </c>
      <c r="H57">
        <f t="array" ref="H57">IFERROR(INDEX('射擊表'!$C$2:$C$500,MATCH(1,('射擊表'!$A$2:$A$500=6)*('射擊表'!$B$2:$B$500=G57),0)),NA())</f>
      </c>
      <c r="I57">
        <f t="array" ref="I57">IFERROR(INDEX(IF('射擊表'!$E$2:$E$500="us",ABS('射擊表'!$D$2:$D$500-1500)/5,'射擊表'!$D$2:$D$500),MATCH(1,('射擊表'!$A$2:$A$500=6)*('射擊表'!$B$2:$B$500=G57),0)),NA())</f>
      </c>
    </row>
    <row r="58">
      <c r="A58">
        <f t="array" ref="A58">IFERROR(SMALL(IF('射擊表'!$A$2:$A$500=4,'射擊表'!$B$2:$B$500),57),NA())</f>
      </c>
      <c r="B58">
        <f t="array" ref="B58">IFERROR(INDEX('射擊表'!$C$2:$C$500,MATCH(1,('射擊表'!$A$2:$A$500=4)*('射擊表'!$B$2:$B$500=A58),0)),NA())</f>
      </c>
      <c r="C58">
        <f t="array" ref="C58">IFERROR(INDEX(IF('射擊表'!$E$2:$E$500="us",ABS('射擊表'!$D$2:$D$500-1500)/5,'射擊表'!$D$2:$D$500),MATCH(1,('射擊表'!$A$2:$A$500=4)*('射擊表'!$B$2:$B$500=A58),0)),NA())</f>
      </c>
      <c r="D58">
        <f t="array" ref="D58">IFERROR(SMALL(IF('射擊表'!$A$2:$A$500=5,'射擊表'!$B$2:$B$500),57),NA())</f>
      </c>
      <c r="E58">
        <f t="array" ref="E58">IFERROR(INDEX('射擊表'!$C$2:$C$500,MATCH(1,('射擊表'!$A$2:$A$500=5)*('射擊表'!$B$2:$B$500=D58),0)),NA())</f>
      </c>
      <c r="F58">
        <f t="array" ref="F58">IFERROR(INDEX(IF('射擊表'!$E$2:$E$500="us",ABS('射擊表'!$D$2:$D$500-1500)/5,'射擊表'!$D$2:$D$500),MATCH(1,('射擊表'!$A$2:$A$500=5)*('射擊表'!$B$2:$B$500=D58),0)),NA())</f>
      </c>
      <c r="G58">
        <f t="array" ref="G58">IFERROR(SMALL(IF('射擊表'!$A$2:$A$500=6,'射擊表'!$B$2:$B$500),57),NA())</f>
      </c>
      <c r="H58">
        <f t="array" ref="H58">IFERROR(INDEX('射擊表'!$C$2:$C$500,MATCH(1,('射擊表'!$A$2:$A$500=6)*('射擊表'!$B$2:$B$500=G58),0)),NA())</f>
      </c>
      <c r="I58">
        <f t="array" ref="I58">IFERROR(INDEX(IF('射擊表'!$E$2:$E$500="us",ABS('射擊表'!$D$2:$D$500-1500)/5,'射擊表'!$D$2:$D$500),MATCH(1,('射擊表'!$A$2:$A$500=6)*('射擊表'!$B$2:$B$500=G58),0)),NA())</f>
      </c>
    </row>
    <row r="59">
      <c r="A59">
        <f t="array" ref="A59">IFERROR(SMALL(IF('射擊表'!$A$2:$A$500=4,'射擊表'!$B$2:$B$500),58),NA())</f>
      </c>
      <c r="B59">
        <f t="array" ref="B59">IFERROR(INDEX('射擊表'!$C$2:$C$500,MATCH(1,('射擊表'!$A$2:$A$500=4)*('射擊表'!$B$2:$B$500=A59),0)),NA())</f>
      </c>
      <c r="C59">
        <f t="array" ref="C59">IFERROR(INDEX(IF('射擊表'!$E$2:$E$500="us",ABS('射擊表'!$D$2:$D$500-1500)/5,'射擊表'!$D$2:$D$500),MATCH(1,('射擊表'!$A$2:$A$500=4)*('射擊表'!$B$2:$B$500=A59),0)),NA())</f>
      </c>
      <c r="D59">
        <f t="array" ref="D59">IFERROR(SMALL(IF('射擊表'!$A$2:$A$500=5,'射擊表'!$B$2:$B$500),58),NA())</f>
      </c>
      <c r="E59">
        <f t="array" ref="E59">IFERROR(INDEX('射擊表'!$C$2:$C$500,MATCH(1,('射擊表'!$A$2:$A$500=5)*('射擊表'!$B$2:$B$500=D59),0)),NA())</f>
      </c>
      <c r="F59">
        <f t="array" ref="F59">IFERROR(INDEX(IF('射擊表'!$E$2:$E$500="us",ABS('射擊表'!$D$2:$D$500-1500)/5,'射擊表'!$D$2:$D$500),MATCH(1,('射擊表'!$A$2:$A$500=5)*('射擊表'!$B$2:$B$500=D59),0)),NA())</f>
      </c>
      <c r="G59">
        <f t="array" ref="G59">IFERROR(SMALL(IF('射擊表'!$A$2:$A$500=6,'射擊表'!$B$2:$B$500),58),NA())</f>
      </c>
      <c r="H59">
        <f t="array" ref="H59">IFERROR(INDEX('射擊表'!$C$2:$C$500,MATCH(1,('射擊表'!$A$2:$A$500=6)*('射擊表'!$B$2:$B$500=G59),0)),NA())</f>
      </c>
      <c r="I59">
        <f t="array" ref="I59">IFERROR(INDEX(IF('射擊表'!$E$2:$E$500="us",ABS('射擊表'!$D$2:$D$500-1500)/5,'射擊表'!$D$2:$D$500),MATCH(1,('射擊表'!$A$2:$A$500=6)*('射擊表'!$B$2:$B$500=G59),0)),NA())</f>
      </c>
    </row>
    <row r="60">
      <c r="A60">
        <f t="array" ref="A60">IFERROR(SMALL(IF('射擊表'!$A$2:$A$500=4,'射擊表'!$B$2:$B$500),59),NA())</f>
      </c>
      <c r="B60">
        <f t="array" ref="B60">IFERROR(INDEX('射擊表'!$C$2:$C$500,MATCH(1,('射擊表'!$A$2:$A$500=4)*('射擊表'!$B$2:$B$500=A60),0)),NA())</f>
      </c>
      <c r="C60">
        <f t="array" ref="C60">IFERROR(INDEX(IF('射擊表'!$E$2:$E$500="us",ABS('射擊表'!$D$2:$D$500-1500)/5,'射擊表'!$D$2:$D$500),MATCH(1,('射擊表'!$A$2:$A$500=4)*('射擊表'!$B$2:$B$500=A60),0)),NA())</f>
      </c>
      <c r="D60">
        <f t="array" ref="D60">IFERROR(SMALL(IF('射擊表'!$A$2:$A$500=5,'射擊表'!$B$2:$B$500),59),NA())</f>
      </c>
      <c r="E60">
        <f t="array" ref="E60">IFERROR(INDEX('射擊表'!$C$2:$C$500,MATCH(1,('射擊表'!$A$2:$A$500=5)*('射擊表'!$B$2:$B$500=D60),0)),NA())</f>
      </c>
      <c r="F60">
        <f t="array" ref="F60">IFERROR(INDEX(IF('射擊表'!$E$2:$E$500="us",ABS('射擊表'!$D$2:$D$500-1500)/5,'射擊表'!$D$2:$D$500),MATCH(1,('射擊表'!$A$2:$A$500=5)*('射擊表'!$B$2:$B$500=D60),0)),NA())</f>
      </c>
      <c r="G60">
        <f t="array" ref="G60">IFERROR(SMALL(IF('射擊表'!$A$2:$A$500=6,'射擊表'!$B$2:$B$500),59),NA())</f>
      </c>
      <c r="H60">
        <f t="array" ref="H60">IFERROR(INDEX('射擊表'!$C$2:$C$500,MATCH(1,('射擊表'!$A$2:$A$500=6)*('射擊表'!$B$2:$B$500=G60),0)),NA())</f>
      </c>
      <c r="I60">
        <f t="array" ref="I60">IFERROR(INDEX(IF('射擊表'!$E$2:$E$500="us",ABS('射擊表'!$D$2:$D$500-1500)/5,'射擊表'!$D$2:$D$500),MATCH(1,('射擊表'!$A$2:$A$500=6)*('射擊表'!$B$2:$B$500=G60),0)),NA())</f>
      </c>
    </row>
    <row r="61">
      <c r="A61">
        <f t="array" ref="A61">IFERROR(SMALL(IF('射擊表'!$A$2:$A$500=4,'射擊表'!$B$2:$B$500),60),NA())</f>
      </c>
      <c r="B61">
        <f t="array" ref="B61">IFERROR(INDEX('射擊表'!$C$2:$C$500,MATCH(1,('射擊表'!$A$2:$A$500=4)*('射擊表'!$B$2:$B$500=A61),0)),NA())</f>
      </c>
      <c r="C61">
        <f t="array" ref="C61">IFERROR(INDEX(IF('射擊表'!$E$2:$E$500="us",ABS('射擊表'!$D$2:$D$500-1500)/5,'射擊表'!$D$2:$D$500),MATCH(1,('射擊表'!$A$2:$A$500=4)*('射擊表'!$B$2:$B$500=A61),0)),NA())</f>
      </c>
      <c r="D61">
        <f t="array" ref="D61">IFERROR(SMALL(IF('射擊表'!$A$2:$A$500=5,'射擊表'!$B$2:$B$500),60),NA())</f>
      </c>
      <c r="E61">
        <f t="array" ref="E61">IFERROR(INDEX('射擊表'!$C$2:$C$500,MATCH(1,('射擊表'!$A$2:$A$500=5)*('射擊表'!$B$2:$B$500=D61),0)),NA())</f>
      </c>
      <c r="F61">
        <f t="array" ref="F61">IFERROR(INDEX(IF('射擊表'!$E$2:$E$500="us",ABS('射擊表'!$D$2:$D$500-1500)/5,'射擊表'!$D$2:$D$500),MATCH(1,('射擊表'!$A$2:$A$500=5)*('射擊表'!$B$2:$B$500=D61),0)),NA())</f>
      </c>
      <c r="G61">
        <f t="array" ref="G61">IFERROR(SMALL(IF('射擊表'!$A$2:$A$500=6,'射擊表'!$B$2:$B$500),60),NA())</f>
      </c>
      <c r="H61">
        <f t="array" ref="H61">IFERROR(INDEX('射擊表'!$C$2:$C$500,MATCH(1,('射擊表'!$A$2:$A$500=6)*('射擊表'!$B$2:$B$500=G61),0)),NA())</f>
      </c>
      <c r="I61">
        <f t="array" ref="I61">IFERROR(INDEX(IF('射擊表'!$E$2:$E$500="us",ABS('射擊表'!$D$2:$D$500-1500)/5,'射擊表'!$D$2:$D$500),MATCH(1,('射擊表'!$A$2:$A$500=6)*('射擊表'!$B$2:$B$500=G61),0)),NA())</f>
      </c>
    </row>
  </sheetData>
</worksheet>
</file>